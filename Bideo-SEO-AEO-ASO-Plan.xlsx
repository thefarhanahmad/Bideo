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worksheets/sheet14.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5.xml" ContentType="application/vnd.openxmlformats-officedocument.spreadsheetml.worksheet+xml"/>
  <Override PartName="/xl/worksheets/sheet4.xml" ContentType="application/vnd.openxmlformats-officedocument.spreadsheetml.worksheet+xml"/>
  <Override PartName="/xl/worksheets/sheet6.xml" ContentType="application/vnd.openxmlformats-officedocument.spreadsheetml.worksheet+xml"/>
  <Override PartName="/xl/worksheets/sheet1.xml" ContentType="application/vnd.openxmlformats-officedocument.spreadsheetml.worksheet+xml"/>
  <Override PartName="/xl/worksheets/sheet11.xml" ContentType="application/vnd.openxmlformats-officedocument.spreadsheetml.worksheet+xml"/>
  <Override PartName="/xl/worksheets/sheet9.xml" ContentType="application/vnd.openxmlformats-officedocument.spreadsheetml.worksheet+xml"/>
  <Override PartName="/xl/worksheets/sheet12.xml" ContentType="application/vnd.openxmlformats-officedocument.spreadsheetml.worksheet+xml"/>
  <Override PartName="/xl/worksheets/sheet8.xml" ContentType="application/vnd.openxmlformats-officedocument.spreadsheetml.worksheet+xml"/>
  <Override PartName="/xl/worksheets/sheet10.xml" ContentType="application/vnd.openxmlformats-officedocument.spreadsheetml.worksheet+xml"/>
  <Override PartName="/xl/worksheets/sheet7.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drawings/drawing1.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2.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7.xml" ContentType="application/vnd.openxmlformats-officedocument.drawing+xml"/>
  <Override PartName="/xl/drawings/drawing3.xml" ContentType="application/vnd.openxmlformats-officedocument.drawing+xml"/>
  <Override PartName="/xl/drawings/drawing6.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 Me" sheetId="1" state="visible" r:id="rId3"/>
    <sheet name="Audit Findings" sheetId="2" state="visible" r:id="rId4"/>
    <sheet name="0. Security (Fix First)" sheetId="3" state="visible" r:id="rId5"/>
    <sheet name="1. Foundations" sheetId="4" state="visible" r:id="rId6"/>
    <sheet name="2. Technical SEO" sheetId="5" state="visible" r:id="rId7"/>
    <sheet name="3. Pages &amp; Content" sheetId="6" state="visible" r:id="rId8"/>
    <sheet name="4. Video &amp; Creator Pages" sheetId="7" state="visible" r:id="rId9"/>
    <sheet name="5. AEO (AI Search)" sheetId="8" state="visible" r:id="rId10"/>
    <sheet name="6. ASO - Google Play" sheetId="9" state="visible" r:id="rId11"/>
    <sheet name="7. ASO - App Store" sheetId="10" state="visible" r:id="rId12"/>
    <sheet name="8. Inside the App" sheetId="11" state="visible" r:id="rId13"/>
    <sheet name="9. Authority" sheetId="12" state="visible" r:id="rId14"/>
    <sheet name="10. Safe Release Rules" sheetId="13" state="visible" r:id="rId15"/>
    <sheet name="11. Monthly Tracker" sheetId="14" state="visible" r:id="rId16"/>
  </sheets>
  <definedNames>
    <definedName function="false" hidden="true" localSheetId="2" name="_xlnm._FilterDatabase" vbProcedure="false">'0. Security (Fix First)'!$A$4:$L$14</definedName>
    <definedName function="false" hidden="true" localSheetId="3" name="_xlnm._FilterDatabase" vbProcedure="false">'1. Foundations'!$A$4:$L$15</definedName>
    <definedName function="false" hidden="true" localSheetId="12" name="_xlnm._FilterDatabase" vbProcedure="false">'10. Safe Release Rules'!$A$4:$L$15</definedName>
    <definedName function="false" hidden="true" localSheetId="4" name="_xlnm._FilterDatabase" vbProcedure="false">'2. Technical SEO'!$A$4:$L$21</definedName>
    <definedName function="false" hidden="true" localSheetId="5" name="_xlnm._FilterDatabase" vbProcedure="false">'3. Pages &amp; Content'!$A$4:$L$16</definedName>
    <definedName function="false" hidden="true" localSheetId="6" name="_xlnm._FilterDatabase" vbProcedure="false">'4. Video &amp; Creator Pages'!$A$4:$L$17</definedName>
    <definedName function="false" hidden="true" localSheetId="7" name="_xlnm._FilterDatabase" vbProcedure="false">'5. AEO (AI Search)'!$A$4:$L$17</definedName>
    <definedName function="false" hidden="true" localSheetId="8" name="_xlnm._FilterDatabase" vbProcedure="false">'6. ASO - Google Play'!$A$4:$L$26</definedName>
    <definedName function="false" hidden="true" localSheetId="9" name="_xlnm._FilterDatabase" vbProcedure="false">'7. ASO - App Store'!$A$4:$L$12</definedName>
    <definedName function="false" hidden="true" localSheetId="10" name="_xlnm._FilterDatabase" vbProcedure="false">'8. Inside the App'!$A$4:$L$18</definedName>
    <definedName function="false" hidden="true" localSheetId="11" name="_xlnm._FilterDatabase" vbProcedure="false">'9. Authority'!$A$4:$L$12</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<sst xmlns="http://schemas.openxmlformats.org/spreadsheetml/2006/main" count="1723" uniqueCount="1038">
  <si>
    <t xml:space="preserve">Bideo — SEO, AEO &amp; ASO Master Plan</t>
  </si>
  <si>
    <t xml:space="preserve">Goal: rank on Google &amp; Bing, get mentioned by AI assistants, and rank in the Play Store — without breaking the working app or website.</t>
  </si>
  <si>
    <t xml:space="preserve">What the 3 words mean</t>
  </si>
  <si>
    <t xml:space="preserve">SEO — Search Engine Optimisation: making bideo.in appear in Google/Bing results.</t>
  </si>
  <si>
    <t xml:space="preserve">AEO — Answer Engine Optimisation: getting ChatGPT, Perplexity, Gemini, Copilot and Google AI Overviews to mention Bideo in their answers.</t>
  </si>
  <si>
    <t xml:space="preserve">ASO — App Store Optimisation: ranking in Play Store (and App Store) search and turning store visitors into installs.</t>
  </si>
  <si>
    <t xml:space="preserve">⚠ URGENT: the public API exposes creators' phone numbers &amp; emails and private videos — fix tab 0 before any SEO work.</t>
  </si>
  <si>
    <t xml:space="preserve">Why bideo.in isn't on Google yet (main reasons found)</t>
  </si>
  <si>
    <t xml:space="preserve">1. The site is new (homepage dated 4 Oct 2026) and probably not submitted to Google Search Console yet → task F01–F02.</t>
  </si>
  <si>
    <t xml:space="preserve">2. The homepage has no text in its HTML — everything is loaded by JavaScript → T01.</t>
  </si>
  <si>
    <t xml:space="preserve">3. robots.txt blocks /api/, where the pages get their content — keep it blocked and fix via server rendering → T01/T02.</t>
  </si>
  <si>
    <t xml:space="preserve">4. Video pages push Android visitors (including Google's mobile crawler) to the app → T05.</t>
  </si>
  <si>
    <t xml:space="preserve">Full list with evidence: 'Audit Findings' tab.</t>
  </si>
  <si>
    <t xml:space="preserve">Progress</t>
  </si>
  <si>
    <t xml:space="preserve">Tab</t>
  </si>
  <si>
    <t xml:space="preserve">Tasks</t>
  </si>
  <si>
    <t xml:space="preserve">Done</t>
  </si>
  <si>
    <t xml:space="preserve">Must left</t>
  </si>
  <si>
    <t xml:space="preserve">High-risk left</t>
  </si>
  <si>
    <t xml:space="preserve">% done</t>
  </si>
  <si>
    <t xml:space="preserve">What it covers</t>
  </si>
  <si>
    <t xml:space="preserve">0. Security (Fix First)</t>
  </si>
  <si>
    <t xml:space="preserve">Public API leaks phone/email, private videos, earnings — fix first</t>
  </si>
  <si>
    <t xml:space="preserve">1. Foundations</t>
  </si>
  <si>
    <t xml:space="preserve">Search Console, Bing, analytics, baseline, staging, backups</t>
  </si>
  <si>
    <t xml:space="preserve">2. Technical SEO</t>
  </si>
  <si>
    <t xml:space="preserve">Rendering, robots, redirects, 404s, speed, sitemap, canonicals</t>
  </si>
  <si>
    <t xml:space="preserve">3. Pages &amp; Content</t>
  </si>
  <si>
    <t xml:space="preserve">Homepage, titles, static &amp; policy pages, hub pages, blog, brand text</t>
  </si>
  <si>
    <t xml:space="preserve">4. Video &amp; Creator Pages</t>
  </si>
  <si>
    <t xml:space="preserve">VideoObject schema, visible text, web player, titles, media domain</t>
  </si>
  <si>
    <t xml:space="preserve">5. AEO (AI Search)</t>
  </si>
  <si>
    <t xml:space="preserve">AI crawlers, 'What is Bideo', FAQ, Organization schema, consistency</t>
  </si>
  <si>
    <t xml:space="preserve">6. ASO - Google Play</t>
  </si>
  <si>
    <t xml:space="preserve">Keywords, title, descriptions, graphics, translations, tests, ratings, vitals</t>
  </si>
  <si>
    <t xml:space="preserve">7. ASO - App Store</t>
  </si>
  <si>
    <t xml:space="preserve">Only if/when an iPhone app launches</t>
  </si>
  <si>
    <t xml:space="preserve">8. Inside the App</t>
  </si>
  <si>
    <t xml:space="preserve">Share links, App Links, upload form, review prompt, stability</t>
  </si>
  <si>
    <t xml:space="preserve">9. Authority</t>
  </si>
  <si>
    <t xml:space="preserve">Social profiles, directories, PR, creators' links, what never to do</t>
  </si>
  <si>
    <t xml:space="preserve">10. Safe Release Rules</t>
  </si>
  <si>
    <t xml:space="preserve">How to deploy every change without breaking anything</t>
  </si>
  <si>
    <t xml:space="preserve">TOTAL</t>
  </si>
  <si>
    <t xml:space="preserve">(Medium + High risk)</t>
  </si>
  <si>
    <t xml:space="preserve">Suggested order (about 8–10 weeks)</t>
  </si>
  <si>
    <t xml:space="preserve">Day 1</t>
  </si>
  <si>
    <t xml:space="preserve">SECURITY (tab 0): remove phone/email from API, block private videos for logged-out users</t>
  </si>
  <si>
    <t xml:space="preserve">Week 1</t>
  </si>
  <si>
    <t xml:space="preserve">Foundations (tab 1) + quick technical fixes with low risk: T02 robots, T03 www redirect, T07 compression, T06 policy pages</t>
  </si>
  <si>
    <t xml:space="preserve">Weeks 2–4</t>
  </si>
  <si>
    <t xml:space="preserve">Rendering (T01), video page redirect (T05), 404s (T04), video schema &amp; text (tab 4), homepage &amp; pages (tab 3)</t>
  </si>
  <si>
    <t xml:space="preserve">Weeks 2–3 (in parallel)</t>
  </si>
  <si>
    <t xml:space="preserve">ASO (tab 6): keyword research → title, short/full description → screenshots → experiments</t>
  </si>
  <si>
    <t xml:space="preserve">Weeks 3–6</t>
  </si>
  <si>
    <t xml:space="preserve">Inside the App (tab 8): upload form, share links, review prompt; AEO (tab 5)</t>
  </si>
  <si>
    <t xml:space="preserve">Ongoing</t>
  </si>
  <si>
    <t xml:space="preserve">Authority (tab 9), Monthly Tracker (tab 11); weekly Search Console check</t>
  </si>
  <si>
    <t xml:space="preserve">How to use this file</t>
  </si>
  <si>
    <t xml:space="preserve">• Each task row: Why it matters → How to do it → Current status (what I saw on 7 Oct) → Break risk → How to do it safely.</t>
  </si>
  <si>
    <t xml:space="preserve">• Fill the yellow cells: Owner and Status (Not started / In progress / Done / Blocked / Not needed). Progress above updates automatically.</t>
  </si>
  <si>
    <t xml:space="preserve">• Priority: Must = core, do first · Should = important, next · Nice = when time allows.</t>
  </si>
  <si>
    <t xml:space="preserve">• Break risk: Low = can't affect the working app · Medium = test on staging first · High = plan carefully + rollback ready.</t>
  </si>
  <si>
    <t xml:space="preserve">• Before any Medium-risk task, read tab 10 'Safe Release Rules'.</t>
  </si>
  <si>
    <t xml:space="preserve">Notes &amp; limits</t>
  </si>
  <si>
    <t xml:space="preserve">• Checked from outside only (website HTML, robots.txt, sitemap, sample video/creator pages, Play listing). No access to the code, Search Console or Play Console — items marked 'Not checked' need you to verify.</t>
  </si>
  <si>
    <t xml:space="preserve">• Character limits and thresholds (Play title 30 / short 80 / full 4,000; Core Web Vitals; Play vitals 1.09% / 0.47%) are from Google's published docs — they can change.</t>
  </si>
  <si>
    <t xml:space="preserve">• No SEO plan can guarantee rankings 'everywhere'. These tasks remove the blockers and build the signals search and AI engines use; results grow over 2–6 months.</t>
  </si>
  <si>
    <t xml:space="preserve">What I found on bideo.in and the Play Store (checked 7 Oct 2026)</t>
  </si>
  <si>
    <t xml:space="preserve">Checked from outside, the way search engines see it (no access to code or Search Console). Fix the red items first.</t>
  </si>
  <si>
    <t xml:space="preserve">#</t>
  </si>
  <si>
    <t xml:space="preserve">Check</t>
  </si>
  <si>
    <t xml:space="preserve">Result</t>
  </si>
  <si>
    <t xml:space="preserve">What we saw</t>
  </si>
  <si>
    <t xml:space="preserve">Why it matters</t>
  </si>
  <si>
    <t xml:space="preserve">Fix in task</t>
  </si>
  <si>
    <t xml:space="preserve">API: creators' phone &amp; email</t>
  </si>
  <si>
    <t xml:space="preserve">PROBLEM</t>
  </si>
  <si>
    <t xml:space="preserve">GET /api/videos (no login) returns owner.phone (54/54) and owner.email (31/54) on page 1; 42,592 videos over 852 pages.</t>
  </si>
  <si>
    <t xml:space="preserve">Anyone can collect every creator's contact details. Privacy + DPDP Act risk.</t>
  </si>
  <si>
    <t xml:space="preserve">X01</t>
  </si>
  <si>
    <t xml:space="preserve">API: private videos</t>
  </si>
  <si>
    <t xml:space="preserve">/api/videos?visibility=private returned 28 private videos without login.</t>
  </si>
  <si>
    <t xml:space="preserve">Private content is not private.</t>
  </si>
  <si>
    <t xml:space="preserve">X02</t>
  </si>
  <si>
    <t xml:space="preserve">API: earnings &amp; likes</t>
  </si>
  <si>
    <t xml:space="preserve">revenue, pendingRevenue and full likes lists (user IDs) are public.</t>
  </si>
  <si>
    <t xml:space="preserve">Exposes creator earnings and user activity.</t>
  </si>
  <si>
    <t xml:space="preserve">X04</t>
  </si>
  <si>
    <t xml:space="preserve">API: bulk copying</t>
  </si>
  <si>
    <t xml:space="preserve">CHECK</t>
  </si>
  <si>
    <t xml:space="preserve">?limit=500 returns 104 per page; rate limit 10,000 requests / 15 min per IP.</t>
  </si>
  <si>
    <t xml:space="preserve">Makes copying the whole catalogue easy.</t>
  </si>
  <si>
    <t xml:space="preserve">X05</t>
  </si>
  <si>
    <t xml:space="preserve">Homepage content in HTML</t>
  </si>
  <si>
    <t xml:space="preserve">Homepage HTML is only a title, a one-line description and an empty &lt;div id="root"&gt;. All text comes from JavaScript.</t>
  </si>
  <si>
    <t xml:space="preserve">Google may see a blank page; Bing and most AI crawlers definitely do.</t>
  </si>
  <si>
    <t xml:space="preserve">T01</t>
  </si>
  <si>
    <t xml:space="preserve">robots.txt vs website data</t>
  </si>
  <si>
    <t xml:space="preserve">robots.txt has 'Disallow: /api/' but the website loads its videos/users/categories from /api/.</t>
  </si>
  <si>
    <t xml:space="preserve">Google is not allowed to fetch the data it needs to render the pages → empty pages.</t>
  </si>
  <si>
    <t xml:space="preserve">T02</t>
  </si>
  <si>
    <t xml:space="preserve">www version</t>
  </si>
  <si>
    <t xml:space="preserve">https://www.bideo.in/ returns 200 (duplicate site) instead of redirecting.</t>
  </si>
  <si>
    <t xml:space="preserve">Duplicate content; ranking signals split.</t>
  </si>
  <si>
    <t xml:space="preserve">T03</t>
  </si>
  <si>
    <t xml:space="preserve">Unknown URLs</t>
  </si>
  <si>
    <t xml:space="preserve">Any made-up URL returns 200 with the homepage (soft 404).</t>
  </si>
  <si>
    <t xml:space="preserve">Wasted crawling; junk URLs can get indexed.</t>
  </si>
  <si>
    <t xml:space="preserve">T04</t>
  </si>
  <si>
    <t xml:space="preserve">Video page behaviour</t>
  </si>
  <si>
    <t xml:space="preserve">Video pages auto-redirect Android visitors to the app/Play Store via a script.</t>
  </si>
  <si>
    <t xml:space="preserve">Google's mobile crawler identifies as Android → may be sent away before reading the page.</t>
  </si>
  <si>
    <t xml:space="preserve">T05</t>
  </si>
  <si>
    <t xml:space="preserve">/privacy, /terms</t>
  </si>
  <si>
    <t xml:space="preserve">Return exactly the same HTML as the homepage (content only via JS).</t>
  </si>
  <si>
    <t xml:space="preserve">Play/ads reviewers and crawlers see blank policy pages.</t>
  </si>
  <si>
    <t xml:space="preserve">T06</t>
  </si>
  <si>
    <t xml:space="preserve">Compression</t>
  </si>
  <si>
    <t xml:space="preserve">Main JS file (~564 KB) is sent without gzip/brotli.</t>
  </si>
  <si>
    <t xml:space="preserve">Slow on mobile networks; speed affects rankings and bounce.</t>
  </si>
  <si>
    <t xml:space="preserve">T07</t>
  </si>
  <si>
    <t xml:space="preserve">Sitemap size</t>
  </si>
  <si>
    <t xml:space="preserve">Sitemap lists exactly 1,000 video, 200 creator and 200 post URLs.</t>
  </si>
  <si>
    <t xml:space="preserve">Looks capped — other pages may never be found.</t>
  </si>
  <si>
    <t xml:space="preserve">T08</t>
  </si>
  <si>
    <t xml:space="preserve">Video structured data</t>
  </si>
  <si>
    <t xml:space="preserve">No VideoObject JSON-LD on video pages; almost no visible text.</t>
  </si>
  <si>
    <t xml:space="preserve">Videos unlikely to appear in Google video results.</t>
  </si>
  <si>
    <t xml:space="preserve">V01, V02</t>
  </si>
  <si>
    <t xml:space="preserve">Creator page title</t>
  </si>
  <si>
    <t xml:space="preserve">A creator page's title was 'Bideo on Bideo - Bideo'.</t>
  </si>
  <si>
    <t xml:space="preserve">Creator pages can't rank for creator names.</t>
  </si>
  <si>
    <t xml:space="preserve">V10</t>
  </si>
  <si>
    <t xml:space="preserve">Media hosting</t>
  </si>
  <si>
    <t xml:space="preserve">Videos/thumbnails served from a pub-…r2.dev address.</t>
  </si>
  <si>
    <t xml:space="preserve">Cloudflare rate-limits r2.dev URLs and recommends a custom domain for production.</t>
  </si>
  <si>
    <t xml:space="preserve">V08</t>
  </si>
  <si>
    <t xml:space="preserve">Video titles</t>
  </si>
  <si>
    <t xml:space="preserve">Example: title and description identical, informal spelling ('Bideo app pr ai se video bnakar dal skte h').</t>
  </si>
  <si>
    <t xml:space="preserve">Titles become Google results; poor titles rank poorly.</t>
  </si>
  <si>
    <t xml:space="preserve">V04, N05</t>
  </si>
  <si>
    <t xml:space="preserve">llms.txt</t>
  </si>
  <si>
    <t xml:space="preserve">MISSING</t>
  </si>
  <si>
    <t xml:space="preserve">/llms.txt returns the homepage HTML.</t>
  </si>
  <si>
    <t xml:space="preserve">Optional AEO file not present.</t>
  </si>
  <si>
    <t xml:space="preserve">A04</t>
  </si>
  <si>
    <t xml:space="preserve">iOS app links file</t>
  </si>
  <si>
    <t xml:space="preserve">/.well-known/apple-app-site-association returns homepage HTML.</t>
  </si>
  <si>
    <t xml:space="preserve">Only matters if an iPhone app exists.</t>
  </si>
  <si>
    <t xml:space="preserve">I04</t>
  </si>
  <si>
    <t xml:space="preserve">Play Store title</t>
  </si>
  <si>
    <t xml:space="preserve">App title is just 'Bideo' (5 of 30 characters).</t>
  </si>
  <si>
    <t xml:space="preserve">Strongest Play ranking field mostly unused.</t>
  </si>
  <si>
    <t xml:space="preserve">G02</t>
  </si>
  <si>
    <t xml:space="preserve">Play short description</t>
  </si>
  <si>
    <t xml:space="preserve">IMPROVE</t>
  </si>
  <si>
    <t xml:space="preserve">'Watch, create &amp; share short videos. Discover creators and grow your community.'</t>
  </si>
  <si>
    <t xml:space="preserve">Generic; no language/India keywords.</t>
  </si>
  <si>
    <t xml:space="preserve">G03</t>
  </si>
  <si>
    <t xml:space="preserve">HTTPS</t>
  </si>
  <si>
    <t xml:space="preserve">OK</t>
  </si>
  <si>
    <t xml:space="preserve">http → https 301 redirect works.</t>
  </si>
  <si>
    <t xml:space="preserve">—</t>
  </si>
  <si>
    <t xml:space="preserve">robots.txt crawling</t>
  </si>
  <si>
    <t xml:space="preserve">Allows all bots; blocks only /api/ and /admin/; points to sitemap.</t>
  </si>
  <si>
    <t xml:space="preserve">Good (except the /api/ issue above).</t>
  </si>
  <si>
    <t xml:space="preserve">Sitemap</t>
  </si>
  <si>
    <t xml:space="preserve">Exists, valid XML, includes video tags (thumbnail, title, description, content).</t>
  </si>
  <si>
    <t xml:space="preserve">Good base.</t>
  </si>
  <si>
    <t xml:space="preserve">Video page meta tags</t>
  </si>
  <si>
    <t xml:space="preserve">Video pages have title, description, canonical, robots index, Open Graph &amp; Twitter tags.</t>
  </si>
  <si>
    <t xml:space="preserve">Good — shares look right on WhatsApp.</t>
  </si>
  <si>
    <t xml:space="preserve">Android App Links file</t>
  </si>
  <si>
    <t xml:space="preserve">/.well-known/assetlinks.json is valid JSON for com.farhan.bideoapp.</t>
  </si>
  <si>
    <t xml:space="preserve">Links can open the app directly.</t>
  </si>
  <si>
    <t xml:space="preserve">N02</t>
  </si>
  <si>
    <t xml:space="preserve">Play rating / installs</t>
  </si>
  <si>
    <t xml:space="preserve">Rating 4.7, 10K+ downloads.</t>
  </si>
  <si>
    <t xml:space="preserve">Strong base for ASO.</t>
  </si>
  <si>
    <t xml:space="preserve">Google indexing</t>
  </si>
  <si>
    <t xml:space="preserve">UNKNOWN</t>
  </si>
  <si>
    <t xml:space="preserve">Can't be checked from outside. You said the site doesn't show on Google; homepage file dated 4 Oct 2026 (new).</t>
  </si>
  <si>
    <t xml:space="preserve">Verify in Search Console.</t>
  </si>
  <si>
    <t xml:space="preserve">F01, F02</t>
  </si>
  <si>
    <t xml:space="preserve">0. Security — fix FIRST: the public API leaks personal data</t>
  </si>
  <si>
    <t xml:space="preserve">Found while checking SEO on 7 Oct 2026. These are more urgent than any SEO task. Values were counted, not copied.</t>
  </si>
  <si>
    <t xml:space="preserve">ID</t>
  </si>
  <si>
    <t xml:space="preserve">Area</t>
  </si>
  <si>
    <t xml:space="preserve">Task</t>
  </si>
  <si>
    <t xml:space="preserve">How to do it</t>
  </si>
  <si>
    <t xml:space="preserve">Current status (checked 7 Oct 2026)</t>
  </si>
  <si>
    <t xml:space="preserve">Priority</t>
  </si>
  <si>
    <t xml:space="preserve">Break risk</t>
  </si>
  <si>
    <t xml:space="preserve">How to do it safely (don't break anything)</t>
  </si>
  <si>
    <t xml:space="preserve">Done when…</t>
  </si>
  <si>
    <t xml:space="preserve">Owner</t>
  </si>
  <si>
    <t xml:space="preserve">Status</t>
  </si>
  <si>
    <t xml:space="preserve">A. Fix TODAY — personal data is public</t>
  </si>
  <si>
    <t xml:space="preserve">API</t>
  </si>
  <si>
    <t xml:space="preserve">Remove creators' phone and email from public API responses</t>
  </si>
  <si>
    <t xml:space="preserve">GET /api/videos returns each creator's phone number and email to anyone, without login. With 42,592 videos over 852 pages, a script can collect every creator's contact details in minutes. Spam/scam risk for creators and a legal risk under India's DPDP Act.</t>
  </si>
  <si>
    <t xml:space="preserve">In the backend query that loads the video owner (e.g. Mongoose .populate('owner', ...)), select ONLY: _id, name, avatar, channelName, isVerified, followersCount. Apply the same to every public endpoint that includes user objects (comments, search, creator pages, trending).</t>
  </si>
  <si>
    <t xml:space="preserve">PROBLEM — owner.phone present for 54/54 and owner.email for 31/54 creators on page 1 (counted 7 Oct; values not copied).</t>
  </si>
  <si>
    <t xml:space="preserve">Must</t>
  </si>
  <si>
    <t xml:space="preserve">Low</t>
  </si>
  <si>
    <t xml:space="preserve">The app and website should never show other people's phone/email, so removing them changes nothing visible. Search the app/web code for 'owner.phone' / 'owner.email' first to be sure.</t>
  </si>
  <si>
    <t xml:space="preserve">curl /api/videos shows no phone or email fields</t>
  </si>
  <si>
    <t xml:space="preserve">Not started</t>
  </si>
  <si>
    <t xml:space="preserve">Logged-out users must never get private videos</t>
  </si>
  <si>
    <t xml:space="preserve">Adding ?visibility=private to /api/videos returns private videos. Creators who set a video private expect nobody to see it.</t>
  </si>
  <si>
    <t xml:space="preserve">On the server, force visibility='public' for public listing endpoints and ignore the visibility parameter unless the logged-in user is the owner (for their own 'My videos' list).</t>
  </si>
  <si>
    <t xml:space="preserve">PROBLEM — /api/videos?visibility=private returned 28 private videos without login.</t>
  </si>
  <si>
    <t xml:space="preserve">Test the creator's own 'My videos' screen still shows their private videos after the change.</t>
  </si>
  <si>
    <t xml:space="preserve">?visibility=private without login returns only public videos (or 403)</t>
  </si>
  <si>
    <t xml:space="preserve">X03</t>
  </si>
  <si>
    <t xml:space="preserve">Audit every other public endpoint the same way</t>
  </si>
  <si>
    <t xml:space="preserve">The same mistake (returning the full database record) is usually repeated in several places.</t>
  </si>
  <si>
    <t xml:space="preserve">Check without logging in: /api/videos/&lt;id&gt;, /api/users/&lt;id&gt;, comments, search, categories, ads, trending, creator profile. Look for phone, email, password/hash, tokens, OTP, revenue, device IDs, addresses.</t>
  </si>
  <si>
    <t xml:space="preserve">/api/users (list) correctly returns 401. Others not checked.</t>
  </si>
  <si>
    <t xml:space="preserve">Read-only checking.</t>
  </si>
  <si>
    <t xml:space="preserve">Checklist of endpoints with 'safe' confirmed for each</t>
  </si>
  <si>
    <t xml:space="preserve">B. Fix THIS WEEK</t>
  </si>
  <si>
    <t xml:space="preserve">Return a fixed, safe list of fields (allow-list)</t>
  </si>
  <si>
    <t xml:space="preserve">Sending the whole database record means every new column (e.g. a future bank detail) leaks automatically.</t>
  </si>
  <si>
    <t xml:space="preserve">For each public endpoint define exactly which fields go out. Remove from public video responses: revenue, pendingRevenue, likes (send likesCount), dislikes (send count), original/compressed sizes, boostType, boostExpiresAt, __v.</t>
  </si>
  <si>
    <t xml:space="preserve">PROBLEM — revenue/pendingRevenue and full likes lists (user IDs) are public.</t>
  </si>
  <si>
    <t xml:space="preserve">Medium</t>
  </si>
  <si>
    <t xml:space="preserve">If the app reads 'likes' to know whether the current user liked a video, replace it with a 'likedByMe' true/false field — release the app update BEFORE removing the old field from the API.</t>
  </si>
  <si>
    <t xml:space="preserve">Public responses contain only allowed fields</t>
  </si>
  <si>
    <t xml:space="preserve">Limit page size and tighten rate limits</t>
  </si>
  <si>
    <t xml:space="preserve">Big pages + a generous limit make bulk copying of the whole catalogue easy.</t>
  </si>
  <si>
    <t xml:space="preserve">Cap ?limit at 20–50 server-side. Stricter rate limit for logged-out requests (e.g. per IP per minute). Consider Cloudflare bot protection in front of /api/.</t>
  </si>
  <si>
    <t xml:space="preserve">?limit=500 returned 104 items; limit is 10,000 requests / 15 min per IP.</t>
  </si>
  <si>
    <t xml:space="preserve">Should</t>
  </si>
  <si>
    <t xml:space="preserve">Make sure the app's own requests stay well under the new limits (check the biggest page size the app asks for).</t>
  </si>
  <si>
    <t xml:space="preserve">limit capped; logged-out limit lower</t>
  </si>
  <si>
    <t xml:space="preserve">X06</t>
  </si>
  <si>
    <t xml:space="preserve">Check CORS settings</t>
  </si>
  <si>
    <t xml:space="preserve">The API sends 'Access-Control-Allow-Credentials: true'. If it also allows any website origin, other sites could make requests using a logged-in user's session.</t>
  </si>
  <si>
    <t xml:space="preserve">Allow only https://bideo.in (and the admin domain) as origins; never reflect any origin together with credentials.</t>
  </si>
  <si>
    <t xml:space="preserve">Not checked / not visible from outside</t>
  </si>
  <si>
    <t xml:space="preserve">Test the website and admin panel still log in and load after the change.</t>
  </si>
  <si>
    <t xml:space="preserve">Only own domains allowed</t>
  </si>
  <si>
    <t xml:space="preserve">X07</t>
  </si>
  <si>
    <t xml:space="preserve">Privacy</t>
  </si>
  <si>
    <t xml:space="preserve">Decide whether to inform affected creators</t>
  </si>
  <si>
    <t xml:space="preserve">Their contact details were public; they may already have been copied. Being open builds trust; DPDP Act has breach-notification duties.</t>
  </si>
  <si>
    <t xml:space="preserve">After the fix, decide with whoever handles legal/compliance. Short message: what was exposed, that it's fixed, to be careful with unknown calls/messages.</t>
  </si>
  <si>
    <t xml:space="preserve">Decision recorded</t>
  </si>
  <si>
    <t xml:space="preserve">X08</t>
  </si>
  <si>
    <t xml:space="preserve">Security</t>
  </si>
  <si>
    <t xml:space="preserve">Add API security checks to every release</t>
  </si>
  <si>
    <t xml:space="preserve">Stops the same leak coming back with a new feature.</t>
  </si>
  <si>
    <t xml:space="preserve">Automated test per public endpoint: call it logged-out and fail the build if fields like phone, email, password, token, revenue appear.</t>
  </si>
  <si>
    <t xml:space="preserve">Test runs on every release</t>
  </si>
  <si>
    <t xml:space="preserve">1. Foundations — measurement + safety net (start here)</t>
  </si>
  <si>
    <t xml:space="preserve">Set these up before changing anything. They show whether Google can see you and protect the working system.</t>
  </si>
  <si>
    <t xml:space="preserve">A. Measurement (do these first — free)</t>
  </si>
  <si>
    <t xml:space="preserve">F01</t>
  </si>
  <si>
    <t xml:space="preserve">Google</t>
  </si>
  <si>
    <t xml:space="preserve">Verify bideo.in in Google Search Console (Domain property)</t>
  </si>
  <si>
    <t xml:space="preserve">It's the only way to see whether Google has indexed your pages, which errors it found, and what people search to find you. It also lets you submit your sitemap and ask Google to index pages.</t>
  </si>
  <si>
    <t xml:space="preserve">search.google.com/search-console → Add property → Domain → add the TXT record it gives you at your domain registrar (DNS).</t>
  </si>
  <si>
    <t xml:space="preserve">PROBLEM — bideo.in does not show on Google. The site's homepage file is dated 4 Oct 2026, so Google may simply not know about it yet.</t>
  </si>
  <si>
    <t xml:space="preserve">Adding a DNS TXT record does not touch the website. Do NOT edit or delete any other DNS record while you are there.</t>
  </si>
  <si>
    <t xml:space="preserve">Property verified; data starts showing</t>
  </si>
  <si>
    <t xml:space="preserve">F02</t>
  </si>
  <si>
    <t xml:space="preserve">Submit sitemap + request indexing</t>
  </si>
  <si>
    <t xml:space="preserve">Tells Google exactly which pages exist instead of waiting for it to find them.</t>
  </si>
  <si>
    <t xml:space="preserve">Search Console → Sitemaps → submit https://bideo.in/sitemap.xml. Then URL Inspection → homepage → 'Request indexing'. Repeat for ~10 best video pages.</t>
  </si>
  <si>
    <t xml:space="preserve">OK — sitemap.xml exists with video tags, robots.txt points to it.</t>
  </si>
  <si>
    <t xml:space="preserve">Read-only for your site.</t>
  </si>
  <si>
    <t xml:space="preserve">Sitemap status 'Success'; homepage 'URL is on Google'</t>
  </si>
  <si>
    <t xml:space="preserve">F03</t>
  </si>
  <si>
    <t xml:space="preserve">Bing</t>
  </si>
  <si>
    <t xml:space="preserve">Bing Webmaster Tools</t>
  </si>
  <si>
    <t xml:space="preserve">Bing powers results in Bing, DuckDuckGo, Yahoo, and is one of the search sources used by ChatGPT search and Microsoft Copilot — important for AEO.</t>
  </si>
  <si>
    <t xml:space="preserve">bing.com/webmasters → 'Import from Google Search Console' (fastest) → submit sitemap.</t>
  </si>
  <si>
    <t xml:space="preserve">Not set up (assumed)</t>
  </si>
  <si>
    <t xml:space="preserve">Site verified in Bing; sitemap processed</t>
  </si>
  <si>
    <t xml:space="preserve">F04</t>
  </si>
  <si>
    <t xml:space="preserve">IndexNow — instant notice when a new video is published</t>
  </si>
  <si>
    <t xml:space="preserve">New videos get discovered by Bing (and Yandex, Seznam) within minutes instead of days.</t>
  </si>
  <si>
    <t xml:space="preserve">Generate a key, host the key file, and have the backend send a ping to api.indexnow.org with the new URL after each publish/delete.</t>
  </si>
  <si>
    <t xml:space="preserve">Send the ping in the background after publishing; if it fails, just log it — never block the upload.</t>
  </si>
  <si>
    <t xml:space="preserve">New video URLs appear in Bing within a day</t>
  </si>
  <si>
    <t xml:space="preserve">F05</t>
  </si>
  <si>
    <t xml:space="preserve">Analytics</t>
  </si>
  <si>
    <t xml:space="preserve">Google Analytics 4 on the website + link to Search Console</t>
  </si>
  <si>
    <t xml:space="preserve">Shows which pages bring visitors and how many click 'Download app'.</t>
  </si>
  <si>
    <t xml:space="preserve">Add GA4 tag; track 'download_app_click' events; link GA4 ↔ Search Console.</t>
  </si>
  <si>
    <t xml:space="preserve">Load the tag async; test the page still loads normally.</t>
  </si>
  <si>
    <t xml:space="preserve">Visits and download clicks visible in GA4</t>
  </si>
  <si>
    <t xml:space="preserve">F06</t>
  </si>
  <si>
    <t xml:space="preserve">Baseline</t>
  </si>
  <si>
    <t xml:space="preserve">Write down today's numbers before changing anything</t>
  </si>
  <si>
    <t xml:space="preserve">Without a 'before' you can't prove what improved — or quickly notice if a change broke something.</t>
  </si>
  <si>
    <t xml:space="preserve">Fill the first row of the 'Monthly Tracker' tab: indexed pages, impressions, Play visitors, installs, rating, crash rate.</t>
  </si>
  <si>
    <t xml:space="preserve">Known today: Play 10K+ downloads, rating 4.7.</t>
  </si>
  <si>
    <t xml:space="preserve">Baseline row filled</t>
  </si>
  <si>
    <t xml:space="preserve">B. Safety net (needed because of 'don't break anything')</t>
  </si>
  <si>
    <t xml:space="preserve">F07</t>
  </si>
  <si>
    <t xml:space="preserve">Safety</t>
  </si>
  <si>
    <t xml:space="preserve">Staging copy of the website</t>
  </si>
  <si>
    <t xml:space="preserve">Every SEO change (redirects, rendering, 404s) should be tried on a copy first. Testing on the live site is how working systems break.</t>
  </si>
  <si>
    <t xml:space="preserve">e.g. staging.bideo.in with the same nginx config and build. Block it from Google with password/basic-auth (not just robots).</t>
  </si>
  <si>
    <t xml:space="preserve">Make sure staging has noindex/password and production does NOT — this mix-up is a common disaster.</t>
  </si>
  <si>
    <t xml:space="preserve">Staging works and is not public</t>
  </si>
  <si>
    <t xml:space="preserve">F08</t>
  </si>
  <si>
    <t xml:space="preserve">Backups + one-command rollback</t>
  </si>
  <si>
    <t xml:space="preserve">If a change breaks the site, you must be able to go back in minutes.</t>
  </si>
  <si>
    <t xml:space="preserve">Before each change: copy nginx config, keep the previous website build folder, tag the git commit. Write the rollback steps down.</t>
  </si>
  <si>
    <t xml:space="preserve">Rollback tested once on staging</t>
  </si>
  <si>
    <t xml:space="preserve">F09</t>
  </si>
  <si>
    <t xml:space="preserve">Uptime monitoring</t>
  </si>
  <si>
    <t xml:space="preserve">Tells you within minutes if the site, a video page or the API goes down after a change.</t>
  </si>
  <si>
    <t xml:space="preserve">Free tools (e.g. UptimeRobot / Better Stack): monitor /, one /v/ page, /sitemap.xml, and the API health endpoint.</t>
  </si>
  <si>
    <t xml:space="preserve">Alerts reach your phone/email</t>
  </si>
  <si>
    <t xml:space="preserve">2. Technical SEO — can search engines read the website?</t>
  </si>
  <si>
    <t xml:space="preserve">Most of the reasons bideo.in doesn't appear on Google are here. Section A lists real problems found on the live site.</t>
  </si>
  <si>
    <t xml:space="preserve">A. Problems found on the live site (fix first)</t>
  </si>
  <si>
    <t xml:space="preserve">Rendering</t>
  </si>
  <si>
    <t xml:space="preserve">Make the homepage and main pages send real content in the HTML</t>
  </si>
  <si>
    <t xml:space="preserve">Today Google receives an empty page and must run JavaScript to see anything. Google does that slowly and not always; Bing and most AI crawlers often don't run JavaScript at all — so to them Bideo has no content.</t>
  </si>
  <si>
    <t xml:space="preserve">The site is a Vite + React app. Easiest safe route: pre-render (generate HTML at build time) for /, /about, /creators, /faq, /download, /privacy, /terms. Bigger route later: server-side rendering (SSR) for all public pages.</t>
  </si>
  <si>
    <t xml:space="preserve">PROBLEM — homepage HTML is only a title, a description and an empty &lt;div id="root"&gt;.</t>
  </si>
  <si>
    <t xml:space="preserve">Pre-render only public pages; leave login/upload/admin as they are. Test on staging that the page looks the same and buttons still work before going live.</t>
  </si>
  <si>
    <t xml:space="preserve">'View source' of the homepage shows the real text</t>
  </si>
  <si>
    <t xml:space="preserve">Robots</t>
  </si>
  <si>
    <t xml:space="preserve">Stop robots.txt from blocking the data pages need</t>
  </si>
  <si>
    <t xml:space="preserve">robots.txt says 'Disallow: /api/', but the website loads its videos, users and categories from /api/. When Google renders a page it obeys robots.txt, so it can't load that data → it sees empty pages.</t>
  </si>
  <si>
    <t xml:space="preserve">KEEP 'Disallow: /api/' — do NOT open the API to crawlers (it currently exposes creators' phone numbers/emails, see Security tab). Fix it the other way: server-render / pre-render the public pages (T01) so the content is already in the HTML and no API call is needed to read it.</t>
  </si>
  <si>
    <t xml:space="preserve">PROBLEM — robots.txt blocks /api/; the site's JavaScript calls /api/videos, /api/users, /api/categories. (Corrected 7 Oct: earlier version of this sheet suggested allowing /api/videos — don't.)</t>
  </si>
  <si>
    <t xml:space="preserve">Do the Security tab fixes first. Leave robots.txt as it is. After T01, test with Search Console → URL Inspection → 'Test live URL' → screenshot.</t>
  </si>
  <si>
    <t xml:space="preserve">Live test screenshot shows real videos with /api/ still blocked</t>
  </si>
  <si>
    <t xml:space="preserve">Redirects</t>
  </si>
  <si>
    <t xml:space="preserve">Redirect www.bideo.in → bideo.in (301)</t>
  </si>
  <si>
    <t xml:space="preserve">Two addresses serving the same site splits Google's signals between them and creates duplicate content.</t>
  </si>
  <si>
    <t xml:space="preserve">nginx: a server block for www.bideo.in that returns 301 to https://bideo.in$request_uri.</t>
  </si>
  <si>
    <t xml:space="preserve">PROBLEM — https://www.bideo.in/ returns 200 (the same site), not a redirect.</t>
  </si>
  <si>
    <t xml:space="preserve">Keep $request_uri so every path still works. Run 'nginx -t' before 'nginx -s reload'. Don't touch other subdomains (API, media).</t>
  </si>
  <si>
    <t xml:space="preserve">www URLs return 301 to the same path on bideo.in</t>
  </si>
  <si>
    <t xml:space="preserve">404s</t>
  </si>
  <si>
    <t xml:space="preserve">Return a real 404 for pages that don't exist</t>
  </si>
  <si>
    <t xml:space="preserve">Right now any made-up address returns 200 + the homepage. Google calls these 'soft 404s', wastes crawl time on them, and may index junk addresses.</t>
  </si>
  <si>
    <t xml:space="preserve">Serve index.html only for known routes (/, /v/*, /c/*, /p/*, /about…); everything else → 404 page. For /v/&lt;id&gt; where the video doesn't exist or was deleted → 404 (or 410).</t>
  </si>
  <si>
    <t xml:space="preserve">PROBLEM — /this-page-does-not-exist-xyz returns 200 with the homepage.</t>
  </si>
  <si>
    <t xml:space="preserve">List every route the website uses first (including login, upload, admin). Test each on staging. A missed route would 404 for real users.</t>
  </si>
  <si>
    <t xml:space="preserve">Unknown URLs return 404; all real pages still 200</t>
  </si>
  <si>
    <t xml:space="preserve">Video page</t>
  </si>
  <si>
    <t xml:space="preserve">Remove the automatic jump to the app on video pages</t>
  </si>
  <si>
    <t xml:space="preserve">Video pages run a script that, on any Android phone, immediately sends the visitor to the app/Play Store. Google's mobile crawler identifies itself as an Android phone, so it can be sent away before reading the page. Users who wanted to watch on the web also leave.</t>
  </si>
  <si>
    <t xml:space="preserve">Remove the automatic window.location.replace(...). Show a clear 'Open in app' button instead. Android App Links (assetlinks.json already exists) open the app automatically when someone taps a bideo.in link from WhatsApp etc.</t>
  </si>
  <si>
    <t xml:space="preserve">PROBLEM — /v/ pages auto-redirect Android visitors to intent://… / Play Store.</t>
  </si>
  <si>
    <t xml:space="preserve">Test on a real Android phone: (1) WhatsApp link still opens the app; (2) with the app uninstalled, the page shows the video and a 'Get the app' button.</t>
  </si>
  <si>
    <t xml:space="preserve">Video pages show content on Android; links still open the app</t>
  </si>
  <si>
    <t xml:space="preserve">Pages</t>
  </si>
  <si>
    <t xml:space="preserve">Make /privacy and /terms real pages</t>
  </si>
  <si>
    <t xml:space="preserve">Google Play, Meta and Google Ads review these URLs. Today they return the empty homepage shell, so to any crawler/reviewer they are blank.</t>
  </si>
  <si>
    <t xml:space="preserve">Pre-render them (see first task) or serve them as plain HTML.</t>
  </si>
  <si>
    <t xml:space="preserve">PROBLEM — /privacy and /terms return exactly the same HTML as the homepage.</t>
  </si>
  <si>
    <t xml:space="preserve">Plain extra pages; no effect on the rest of the site.</t>
  </si>
  <si>
    <t xml:space="preserve">View source shows the policy text</t>
  </si>
  <si>
    <t xml:space="preserve">Speed</t>
  </si>
  <si>
    <t xml:space="preserve">Turn on compression (gzip / brotli)</t>
  </si>
  <si>
    <t xml:space="preserve">The main JavaScript file is ~564 KB and is sent uncompressed. Compression typically shrinks it to ~25–35% → much faster loading on Indian mobile networks; speed is a ranking factor.</t>
  </si>
  <si>
    <t xml:space="preserve">nginx: 'gzip on;' with gzip_types for text/css, application/javascript, application/json, image/svg+xml, application/xml. Add brotli if the module is available.</t>
  </si>
  <si>
    <t xml:space="preserve">PROBLEM — /assets/index-…js served without Content-Encoding (≈564 KB).</t>
  </si>
  <si>
    <t xml:space="preserve">'nginx -t' then reload. Check pages and video playback still work (don't compress video files).</t>
  </si>
  <si>
    <t xml:space="preserve">JS response shows Content-Encoding: gzip/br</t>
  </si>
  <si>
    <t xml:space="preserve">Check whether the sitemap is capped</t>
  </si>
  <si>
    <t xml:space="preserve">If only a fixed number of pages are listed, Google may never find the rest of your videos.</t>
  </si>
  <si>
    <t xml:space="preserve">Look at the sitemap code. Use a sitemap index: sitemap-videos-1.xml, sitemap-creators.xml, sitemap-pages.xml… (max 50,000 URLs per file). Add accurate &lt;lastmod&gt;.</t>
  </si>
  <si>
    <t xml:space="preserve">PROBLEM? — sitemap has exactly 1,000 /v/, 200 /c/ and 200 /p/ URLs — looks like hard limits.</t>
  </si>
  <si>
    <t xml:space="preserve">Keep the same URL https://bideo.in/sitemap.xml (make it the index), so Search Console keeps working.</t>
  </si>
  <si>
    <t xml:space="preserve">All public videos/creators are in the sitemaps</t>
  </si>
  <si>
    <t xml:space="preserve">B. Core technical health</t>
  </si>
  <si>
    <t xml:space="preserve">T09</t>
  </si>
  <si>
    <t xml:space="preserve">Core Web Vitals on mobile</t>
  </si>
  <si>
    <t xml:space="preserve">Google uses page experience signals; slow pages also lose visitors.</t>
  </si>
  <si>
    <t xml:space="preserve">Check pagespeed.web.dev for /, a /v/ page and a /c/ page. Targets: LCP &lt; 2.5s, INP &lt; 200ms, CLS &lt; 0.1. Usual fixes: smaller JS (code-splitting), fixed image sizes, preload the main thumbnail, fewer fonts.</t>
  </si>
  <si>
    <t xml:space="preserve">Change one thing at a time; compare scores before/after on staging.</t>
  </si>
  <si>
    <t xml:space="preserve">All 3 page types 'Good' on mobile</t>
  </si>
  <si>
    <t xml:space="preserve">T10</t>
  </si>
  <si>
    <t xml:space="preserve">Cache headers</t>
  </si>
  <si>
    <t xml:space="preserve">Repeat visitors and crawlers load faster; less server load.</t>
  </si>
  <si>
    <t xml:space="preserve">Files in /assets/ (hashed names): Cache-Control 'public, max-age=31536000, immutable'. HTML: short cache or no-cache.</t>
  </si>
  <si>
    <t xml:space="preserve">NEVER long-cache index.html or HTML pages — users would be stuck on an old version.</t>
  </si>
  <si>
    <t xml:space="preserve">Headers verified with curl -I</t>
  </si>
  <si>
    <t xml:space="preserve">T11</t>
  </si>
  <si>
    <t xml:space="preserve">Canonical</t>
  </si>
  <si>
    <t xml:space="preserve">Canonical tag on every public page</t>
  </si>
  <si>
    <t xml:space="preserve">Tells Google which address is the 'real' one (stops duplicates from ?utm=… or www).</t>
  </si>
  <si>
    <t xml:space="preserve">&lt;link rel="canonical" href="https://bideo.in/&lt;path&gt;"&gt; on home, creator, post, category and static pages.</t>
  </si>
  <si>
    <t xml:space="preserve">OK on video pages; missing on homepage.</t>
  </si>
  <si>
    <t xml:space="preserve">Canonical must point to the page itself (never all to the homepage).</t>
  </si>
  <si>
    <t xml:space="preserve">Every page has a self-canonical</t>
  </si>
  <si>
    <t xml:space="preserve">T12</t>
  </si>
  <si>
    <t xml:space="preserve">Links</t>
  </si>
  <si>
    <t xml:space="preserve">Real links between pages</t>
  </si>
  <si>
    <t xml:space="preserve">Google discovers pages by following &lt;a href&gt; links. Clicks handled only by JavaScript (onClick) are invisible to it.</t>
  </si>
  <si>
    <t xml:space="preserve">Video cards, creator names, categories, 'related videos' → real &lt;a href="/v/…"&gt; links.</t>
  </si>
  <si>
    <t xml:space="preserve">Keeps the same look; just changes the element type. Test clicks still work.</t>
  </si>
  <si>
    <t xml:space="preserve">Links visible in page source</t>
  </si>
  <si>
    <t xml:space="preserve">T13</t>
  </si>
  <si>
    <t xml:space="preserve">HTTPS + HSTS</t>
  </si>
  <si>
    <t xml:space="preserve">HTTPS is a ranking signal and required for trust.</t>
  </si>
  <si>
    <t xml:space="preserve">http → https already redirects. Add 'Strict-Transport-Security' header starting with a short max-age (e.g. 1 day), increase later.</t>
  </si>
  <si>
    <t xml:space="preserve">OK — http://bideo.in → 301 to https.</t>
  </si>
  <si>
    <t xml:space="preserve">Nice</t>
  </si>
  <si>
    <t xml:space="preserve">HSTS is hard to undo; start short and only after all subdomains are on HTTPS.</t>
  </si>
  <si>
    <t xml:space="preserve">Header present</t>
  </si>
  <si>
    <t xml:space="preserve">T14</t>
  </si>
  <si>
    <t xml:space="preserve">Language</t>
  </si>
  <si>
    <t xml:space="preserve">Correct language tag</t>
  </si>
  <si>
    <t xml:space="preserve">Helps Google show pages to people searching in that language.</t>
  </si>
  <si>
    <t xml:space="preserve">Set &lt;html lang&gt; to the page's language (e.g. 'hi' for Hindi videos). If you later make full Hindi versions of pages, add hreflang tags.</t>
  </si>
  <si>
    <t xml:space="preserve">Site uses lang="en" while much content is Hindi.</t>
  </si>
  <si>
    <t xml:space="preserve">lang matches content</t>
  </si>
  <si>
    <t xml:space="preserve">T15</t>
  </si>
  <si>
    <t xml:space="preserve">Monitoring</t>
  </si>
  <si>
    <t xml:space="preserve">Fix errors in Search Console every week</t>
  </si>
  <si>
    <t xml:space="preserve">'Page indexing' and 'Core Web Vitals' reports list exactly what's wrong.</t>
  </si>
  <si>
    <t xml:space="preserve">Weekly 15 min: check new errors, fix, click 'Validate fix'.</t>
  </si>
  <si>
    <t xml:space="preserve">No new errors for 4 weeks</t>
  </si>
  <si>
    <t xml:space="preserve">3. Pages &amp; Content — what the website says</t>
  </si>
  <si>
    <t xml:space="preserve">Pages and text that rank, build trust and answer what people search.</t>
  </si>
  <si>
    <t xml:space="preserve">A. Pages every serious app website needs</t>
  </si>
  <si>
    <t xml:space="preserve">C01</t>
  </si>
  <si>
    <t xml:space="preserve">Homepage</t>
  </si>
  <si>
    <t xml:space="preserve">Rewrite the homepage with real content</t>
  </si>
  <si>
    <t xml:space="preserve">It's the page that must rank for 'Bideo' and explain the app to Google, AI engines and people.</t>
  </si>
  <si>
    <t xml:space="preserve">H1 with what Bideo is (e.g. 'Bideo – watch and create short videos in Hindi &amp; Indian languages'); 3–5 sections: for viewers, for creators (how they grow/earn), trending videos (real links), FAQ, 'Get it on Google Play' button.</t>
  </si>
  <si>
    <t xml:space="preserve">PROBLEM — empty in HTML (see Technical T01).</t>
  </si>
  <si>
    <t xml:space="preserve">Build it on staging; keep existing app features and links working.</t>
  </si>
  <si>
    <t xml:space="preserve">Homepage text visible in page source</t>
  </si>
  <si>
    <t xml:space="preserve">C02</t>
  </si>
  <si>
    <t xml:space="preserve">Titles</t>
  </si>
  <si>
    <t xml:space="preserve">Unique title + meta description for every page type</t>
  </si>
  <si>
    <t xml:space="preserve">The title is the blue link in Google results; the description is the grey text. Good ones get more clicks.</t>
  </si>
  <si>
    <t xml:space="preserve">Templates — Video: '&lt;video title&gt; | &lt;creator&gt; on Bideo'. Creator: '&lt;Name&gt; (@handle) – Videos on Bideo'. Home: 'Bideo – Short Video App for India | Watch, Create, Grow'. Titles ≤ ~60 chars, descriptions ~150 chars.</t>
  </si>
  <si>
    <t xml:space="preserve">Video pages OK (title = video title). Creator page shows 'Bideo on Bideo - Bideo'.</t>
  </si>
  <si>
    <t xml:space="preserve">Text-only change in templates.</t>
  </si>
  <si>
    <t xml:space="preserve">No duplicate titles in Search Console</t>
  </si>
  <si>
    <t xml:space="preserve">C03</t>
  </si>
  <si>
    <t xml:space="preserve">Static pages</t>
  </si>
  <si>
    <t xml:space="preserve">About, For Creators, Download, FAQ, Contact</t>
  </si>
  <si>
    <t xml:space="preserve">Builds trust with Google (who runs this, how to contact), answers what people search, and gives AI engines facts to quote.</t>
  </si>
  <si>
    <t xml:space="preserve">About: who is behind Bideo, mission, launch date, city. For Creators: how to start, how earning works. Download: Play link + QR. Contact: email.</t>
  </si>
  <si>
    <t xml:space="preserve">New pages only.</t>
  </si>
  <si>
    <t xml:space="preserve">All pages live and linked in the footer</t>
  </si>
  <si>
    <t xml:space="preserve">C04</t>
  </si>
  <si>
    <t xml:space="preserve">Policy pages</t>
  </si>
  <si>
    <t xml:space="preserve">Privacy, Terms, Community guidelines, Copyright/takedown, Account deletion</t>
  </si>
  <si>
    <t xml:space="preserve">Required by Google Play and ad platforms; trust signal for search.</t>
  </si>
  <si>
    <t xml:space="preserve">Each as its own real HTML page; link them in the footer and in the Play listing.</t>
  </si>
  <si>
    <t xml:space="preserve">/privacy and /terms exist only as JS (see T06).</t>
  </si>
  <si>
    <t xml:space="preserve">All pages readable without JavaScript</t>
  </si>
  <si>
    <t xml:space="preserve">C05</t>
  </si>
  <si>
    <t xml:space="preserve">Social preview</t>
  </si>
  <si>
    <t xml:space="preserve">Open Graph image for homepage &amp; static pages</t>
  </si>
  <si>
    <t xml:space="preserve">Controls how links look when shared on WhatsApp, Instagram, X, LinkedIn — more clicks.</t>
  </si>
  <si>
    <t xml:space="preserve">og:title, og:description, og:image (1200×630), twitter:card.</t>
  </si>
  <si>
    <t xml:space="preserve">OK on video pages; homepage missing.</t>
  </si>
  <si>
    <t xml:space="preserve">Previews look right in WhatsApp</t>
  </si>
  <si>
    <t xml:space="preserve">B. Pages that bring search traffic (after A)</t>
  </si>
  <si>
    <t xml:space="preserve">C06</t>
  </si>
  <si>
    <t xml:space="preserve">Hub pages</t>
  </si>
  <si>
    <t xml:space="preserve">Category and language pages</t>
  </si>
  <si>
    <t xml:space="preserve">People search 'Hindi comedy videos', 'Bhojpuri songs short video' — hub pages can rank for these and link to many videos.</t>
  </si>
  <si>
    <t xml:space="preserve">/category/comedy, /hindi, /hindi/comedy … with a short intro text and a list of the best videos (real links). Create only where there are enough videos (e.g. 20+).</t>
  </si>
  <si>
    <t xml:space="preserve">Categories exist in the app (/api/categories).</t>
  </si>
  <si>
    <t xml:space="preserve">Don't create empty or near-empty pages — Google treats them as thin content.</t>
  </si>
  <si>
    <t xml:space="preserve">Hub pages indexed and getting impressions</t>
  </si>
  <si>
    <t xml:space="preserve">C07</t>
  </si>
  <si>
    <t xml:space="preserve">Trending / New pages</t>
  </si>
  <si>
    <t xml:space="preserve">Fresh pages that change daily get crawled often and help new videos get found fast.</t>
  </si>
  <si>
    <t xml:space="preserve">/trending and /new with real links to videos.</t>
  </si>
  <si>
    <t xml:space="preserve">Pages crawled daily (see Search Console crawl stats)</t>
  </si>
  <si>
    <t xml:space="preserve">C08</t>
  </si>
  <si>
    <t xml:space="preserve">Blog</t>
  </si>
  <si>
    <t xml:space="preserve">Creator guides (blog)</t>
  </si>
  <si>
    <t xml:space="preserve">Ranks for creator questions ('how to earn from short videos in India', 'how to make AI videos') and brings creators — your supply side. AI engines quote such guides.</t>
  </si>
  <si>
    <t xml:space="preserve">1–2 helpful articles a month, in Hindi and English, written from real experience. Each links to sign-up.</t>
  </si>
  <si>
    <t xml:space="preserve">Articles ranking for target questions</t>
  </si>
  <si>
    <t xml:space="preserve">C09</t>
  </si>
  <si>
    <t xml:space="preserve">Brand text</t>
  </si>
  <si>
    <t xml:space="preserve">One fixed brand description everywhere</t>
  </si>
  <si>
    <t xml:space="preserve">Search engines and AI engines trust facts that match across the web.</t>
  </si>
  <si>
    <t xml:space="preserve">Write one 1-sentence and one 3-sentence description of Bideo. Use the same wording on the site, Play Store, social profiles and directories.</t>
  </si>
  <si>
    <t xml:space="preserve">Different wording today (site: 'modern video platform for India'; Play: 'short videos… grow your community').</t>
  </si>
  <si>
    <t xml:space="preserve">Same description on all profiles</t>
  </si>
  <si>
    <t xml:space="preserve">C10</t>
  </si>
  <si>
    <t xml:space="preserve">Images</t>
  </si>
  <si>
    <t xml:space="preserve">Alt text and file names</t>
  </si>
  <si>
    <t xml:space="preserve">Image search traffic and accessibility.</t>
  </si>
  <si>
    <t xml:space="preserve">Alt = video title / creator name; descriptive file names for site images.</t>
  </si>
  <si>
    <t xml:space="preserve">Images have alt text</t>
  </si>
  <si>
    <t xml:space="preserve">4. Video &amp; Creator Pages — your biggest SEO opportunity</t>
  </si>
  <si>
    <t xml:space="preserve">Thousands of video and creator pages can each bring search traffic — if Google can read them.</t>
  </si>
  <si>
    <t xml:space="preserve">A. Video pages (/v/…) — your biggest SEO asset</t>
  </si>
  <si>
    <t xml:space="preserve">V01</t>
  </si>
  <si>
    <t xml:space="preserve">Schema</t>
  </si>
  <si>
    <t xml:space="preserve">VideoObject structured data on every video page</t>
  </si>
  <si>
    <t xml:space="preserve">Lets Google show your videos in video results with thumbnail, duration and date — a big source of free traffic.</t>
  </si>
  <si>
    <t xml:space="preserve">JSON-LD with name, description, thumbnailUrl, uploadDate (required), plus duration, contentUrl, embedUrl, interactionStatistic (views), author. Test with Google's Rich Results Test.</t>
  </si>
  <si>
    <t xml:space="preserve">PROBLEM — no JSON-LD on video pages.</t>
  </si>
  <si>
    <t xml:space="preserve">Added in &lt;head&gt;; doesn't change what users see. Validate before deploying.</t>
  </si>
  <si>
    <t xml:space="preserve">Search Console → 'Videos' report shows indexed videos</t>
  </si>
  <si>
    <t xml:space="preserve">V02</t>
  </si>
  <si>
    <t xml:space="preserve">Content</t>
  </si>
  <si>
    <t xml:space="preserve">Visible text on the video page</t>
  </si>
  <si>
    <t xml:space="preserve">Right now the page has a title and almost no text. Google needs words to understand and rank it.</t>
  </si>
  <si>
    <t xml:space="preserve">Show in HTML: title, description, creator name (linked), upload date, views, category, hashtags, and 6–12 'related videos' links. Later: transcript.</t>
  </si>
  <si>
    <t xml:space="preserve">PROBLEM — page body is mostly scripts.</t>
  </si>
  <si>
    <t xml:space="preserve">Same as the video page design in the app; build on staging.</t>
  </si>
  <si>
    <t xml:space="preserve">Text visible in page source</t>
  </si>
  <si>
    <t xml:space="preserve">V03</t>
  </si>
  <si>
    <t xml:space="preserve">Player</t>
  </si>
  <si>
    <t xml:space="preserve">Video must play on the web page itself</t>
  </si>
  <si>
    <t xml:space="preserve">Google only indexes a video when it's the main thing on its page and can be played there.</t>
  </si>
  <si>
    <t xml:space="preserve">A web player on /v/ pages (with an 'Open in app' button next to it).</t>
  </si>
  <si>
    <t xml:space="preserve">PROBLEM — page pushes Android users to the app (see T05).</t>
  </si>
  <si>
    <t xml:space="preserve">Keep the app link flow working (test on Android).</t>
  </si>
  <si>
    <t xml:space="preserve">Video plays in a desktop &amp; mobile browser</t>
  </si>
  <si>
    <t xml:space="preserve">V04</t>
  </si>
  <si>
    <t xml:space="preserve">Better video titles &amp; descriptions</t>
  </si>
  <si>
    <t xml:space="preserve">Titles become Google results. 'Bideo app pr ai se video bnakar dal skte h' is hard to search for; clear titles in proper Hindi/English rank better.</t>
  </si>
  <si>
    <t xml:space="preserve">Done inside the app at upload (see 'Inside the App' tab): required title, suggested format, description field.</t>
  </si>
  <si>
    <t xml:space="preserve">Example found: title and description identical, informal spelling.</t>
  </si>
  <si>
    <t xml:space="preserve">New uploads have a proper title + different description</t>
  </si>
  <si>
    <t xml:space="preserve">V05</t>
  </si>
  <si>
    <t xml:space="preserve">Quality</t>
  </si>
  <si>
    <t xml:space="preserve">Keep low-quality videos out of Google</t>
  </si>
  <si>
    <t xml:space="preserve">Hundreds of near-empty pages can lower how Google sees the whole site.</t>
  </si>
  <si>
    <t xml:space="preserve">Add 'noindex' and leave out of the sitemap: videos with no title, very short clips, private/unlisted, removed or reported content.</t>
  </si>
  <si>
    <t xml:space="preserve">Only affects the excluded pages.</t>
  </si>
  <si>
    <t xml:space="preserve">Rules applied in code</t>
  </si>
  <si>
    <t xml:space="preserve">V06</t>
  </si>
  <si>
    <t xml:space="preserve">Removed</t>
  </si>
  <si>
    <t xml:space="preserve">Deleted videos return 404/410 and leave the sitemap</t>
  </si>
  <si>
    <t xml:space="preserve">Stops Google from showing dead pages and wasting crawl time.</t>
  </si>
  <si>
    <t xml:space="preserve">Backend: if the video doesn't exist → 404 (or 410).</t>
  </si>
  <si>
    <t xml:space="preserve">Related to T04 (soft 404s).</t>
  </si>
  <si>
    <t xml:space="preserve">Deleted video URL returns 404</t>
  </si>
  <si>
    <t xml:space="preserve">V07</t>
  </si>
  <si>
    <t xml:space="preserve">Complete video sitemap fields</t>
  </si>
  <si>
    <t xml:space="preserve">More data helps Google index videos.</t>
  </si>
  <si>
    <t xml:space="preserve">Add &lt;video:duration&gt;, &lt;video:publication_date&gt;; keep title, description, thumbnail and content_loc (already there).</t>
  </si>
  <si>
    <t xml:space="preserve">OK — thumbnail, title, description, content_loc present.</t>
  </si>
  <si>
    <t xml:space="preserve">Sitemap validates in Search Console</t>
  </si>
  <si>
    <t xml:space="preserve">Media</t>
  </si>
  <si>
    <t xml:space="preserve">Serve videos/thumbnails from your own domain</t>
  </si>
  <si>
    <t xml:space="preserve">Files are on a 'pub-…r2.dev' address. Cloudflare says r2.dev links are rate-limited and meant for development, not production. Your own domain is also more trustworthy and stable.</t>
  </si>
  <si>
    <t xml:space="preserve">Connect a custom domain to the R2 bucket (e.g. media.bideo.in) and use it for new URLs.</t>
  </si>
  <si>
    <t xml:space="preserve">PROBLEM — media served from pub-…r2.dev.</t>
  </si>
  <si>
    <t xml:space="preserve">Keep old r2.dev URLs working while switching; switch new uploads first, then old ones gradually.</t>
  </si>
  <si>
    <t xml:space="preserve">New media URLs on media.bideo.in</t>
  </si>
  <si>
    <t xml:space="preserve">V09</t>
  </si>
  <si>
    <t xml:space="preserve">Embeds</t>
  </si>
  <si>
    <t xml:space="preserve">Embed player for other websites</t>
  </si>
  <si>
    <t xml:space="preserve">Each embed on another site is a link and a mention of Bideo → authority + AI visibility.</t>
  </si>
  <si>
    <t xml:space="preserve">/embed/&lt;id&gt; page + 'Embed' option on the share menu.</t>
  </si>
  <si>
    <t xml:space="preserve">Embed works on a test page</t>
  </si>
  <si>
    <t xml:space="preserve">B. Creator (/c/) and post (/p/) pages</t>
  </si>
  <si>
    <t xml:space="preserve">Creator</t>
  </si>
  <si>
    <t xml:space="preserve">Proper creator page titles and content</t>
  </si>
  <si>
    <t xml:space="preserve">People search creators by name. A good creator page can rank for '&lt;creator name&gt;'.</t>
  </si>
  <si>
    <t xml:space="preserve">Title '&lt;Name&gt; (@handle) – Videos on Bideo', bio, follower count, list of videos with real links, ProfilePage + Person JSON-LD.</t>
  </si>
  <si>
    <t xml:space="preserve">PROBLEM — creator page title 'Bideo on Bideo - Bideo'.</t>
  </si>
  <si>
    <t xml:space="preserve">Template change only.</t>
  </si>
  <si>
    <t xml:space="preserve">Creator pages show name in title</t>
  </si>
  <si>
    <t xml:space="preserve">V11</t>
  </si>
  <si>
    <t xml:space="preserve">Posts</t>
  </si>
  <si>
    <t xml:space="preserve">Same treatment for /p/ pages</t>
  </si>
  <si>
    <t xml:space="preserve">Each public post is a potential search result.</t>
  </si>
  <si>
    <t xml:space="preserve">Title, description, canonical, OG image, real text in HTML.</t>
  </si>
  <si>
    <t xml:space="preserve">Post pages render text in HTML</t>
  </si>
  <si>
    <t xml:space="preserve">5. AEO — get mentioned by ChatGPT, Perplexity, Gemini, Copilot &amp; Google AI Overviews</t>
  </si>
  <si>
    <t xml:space="preserve">AI engines answer from pages they can read and facts they see repeated across trusted sites.</t>
  </si>
  <si>
    <t xml:space="preserve">A. Let AI engines read you</t>
  </si>
  <si>
    <t xml:space="preserve">A01</t>
  </si>
  <si>
    <t xml:space="preserve">Crawlers</t>
  </si>
  <si>
    <t xml:space="preserve">Allow AI search crawlers</t>
  </si>
  <si>
    <t xml:space="preserve">ChatGPT, Perplexity, Claude, Gemini and Copilot can only mention what their crawlers can read.</t>
  </si>
  <si>
    <t xml:space="preserve">Keep robots.txt open to: Googlebot, Bingbot, OAI-SearchBot, ChatGPT-User, GPTBot, PerplexityBot, ClaudeBot, Claude-SearchBot, Applebot. Also check Cloudflare/hosting 'block AI bots' settings are OFF.</t>
  </si>
  <si>
    <t xml:space="preserve">OK — robots.txt allows all bots (except /api/, /admin/).</t>
  </si>
  <si>
    <t xml:space="preserve">Don't block them by mistake when editing robots.txt.</t>
  </si>
  <si>
    <t xml:space="preserve">All listed bots allowed</t>
  </si>
  <si>
    <t xml:space="preserve">A02</t>
  </si>
  <si>
    <t xml:space="preserve">Content readable without JavaScript</t>
  </si>
  <si>
    <t xml:space="preserve">Most AI crawlers don't run JavaScript. Today they see an empty Bideo homepage.</t>
  </si>
  <si>
    <t xml:space="preserve">Same fix as Technical T01/T02.</t>
  </si>
  <si>
    <t xml:space="preserve">PROBLEM — see T01.</t>
  </si>
  <si>
    <t xml:space="preserve">See T01.</t>
  </si>
  <si>
    <t xml:space="preserve">View source shows text</t>
  </si>
  <si>
    <t xml:space="preserve">A03</t>
  </si>
  <si>
    <t xml:space="preserve">Be indexed in Bing</t>
  </si>
  <si>
    <t xml:space="preserve">ChatGPT search and Copilot use Bing among their sources.</t>
  </si>
  <si>
    <t xml:space="preserve">See Foundations F03 (+ IndexNow).</t>
  </si>
  <si>
    <t xml:space="preserve">Pages indexed in Bing</t>
  </si>
  <si>
    <t xml:space="preserve">Add /llms.txt (optional)</t>
  </si>
  <si>
    <t xml:space="preserve">A proposed standard — a short plain-text summary of your site for AI tools. Google doesn't use it; some AI tools do. Cheap to add.</t>
  </si>
  <si>
    <t xml:space="preserve">Plain-text file at /llms.txt: what Bideo is, key pages (about, creators, FAQ, download), contact.</t>
  </si>
  <si>
    <t xml:space="preserve">PROBLEM — /llms.txt returns the homepage HTML (file doesn't exist).</t>
  </si>
  <si>
    <t xml:space="preserve">Make sure nginx serves it as text/plain, not the app shell.</t>
  </si>
  <si>
    <t xml:space="preserve">File returns text/plain</t>
  </si>
  <si>
    <t xml:space="preserve">B. Give AI engines clear facts to quote</t>
  </si>
  <si>
    <t xml:space="preserve">A05</t>
  </si>
  <si>
    <t xml:space="preserve">Answer</t>
  </si>
  <si>
    <t xml:space="preserve">'What is Bideo?' answer at the top of homepage &amp; About</t>
  </si>
  <si>
    <t xml:space="preserve">AI engines quote short, clear, factual paragraphs.</t>
  </si>
  <si>
    <t xml:space="preserve">2–3 sentences: what it is, for whom, which languages, free or paid, who runs it, since when.</t>
  </si>
  <si>
    <t xml:space="preserve">Paragraph live on both pages</t>
  </si>
  <si>
    <t xml:space="preserve">A06</t>
  </si>
  <si>
    <t xml:space="preserve">FAQ</t>
  </si>
  <si>
    <t xml:space="preserve">FAQ page with real questions</t>
  </si>
  <si>
    <t xml:space="preserve">People ask AI 'Is Bideo safe?', 'How do I earn on Bideo?', 'Bideo vs Moj/YouTube Shorts?'. A clear answer on your site is what gets quoted.</t>
  </si>
  <si>
    <t xml:space="preserve">10–20 questions from user support, Play reviews and search terms. Short direct answers. Note: Google now shows FAQ rich results only for government/health sites, so don't expect stars — this is for AI answers and users.</t>
  </si>
  <si>
    <t xml:space="preserve">FAQ live and linked from footer</t>
  </si>
  <si>
    <t xml:space="preserve">A07</t>
  </si>
  <si>
    <t xml:space="preserve">Organization + WebSite + MobileApplication structured data</t>
  </si>
  <si>
    <t xml:space="preserve">Tells machines exactly who you are and links your profiles together (a step toward a Google knowledge panel).</t>
  </si>
  <si>
    <t xml:space="preserve">Homepage JSON-LD: Organization (name, url, logo, description, sameAs: Play Store, Instagram, YouTube, X, LinkedIn); WebSite; MobileApplication (name, operatingSystem ANDROID, applicationCategory, offers price 0, download URL).</t>
  </si>
  <si>
    <t xml:space="preserve">PROBLEM — no structured data on homepage.</t>
  </si>
  <si>
    <t xml:space="preserve">Validate in Rich Results Test / schema.org validator. Don't copy Play Store ratings into your schema.</t>
  </si>
  <si>
    <t xml:space="preserve">Validator shows no errors</t>
  </si>
  <si>
    <t xml:space="preserve">A08</t>
  </si>
  <si>
    <t xml:space="preserve">Consistency</t>
  </si>
  <si>
    <t xml:space="preserve">Same facts everywhere</t>
  </si>
  <si>
    <t xml:space="preserve">AI engines cross-check: name, description, founder, launch year, category must match across site, Play, socials and directories.</t>
  </si>
  <si>
    <t xml:space="preserve">Use the brand text from Pages C09 everywhere. Fix differences.</t>
  </si>
  <si>
    <t xml:space="preserve">Different descriptions on site vs Play today.</t>
  </si>
  <si>
    <t xml:space="preserve">Facts match on all profiles</t>
  </si>
  <si>
    <t xml:space="preserve">A09</t>
  </si>
  <si>
    <t xml:space="preserve">Comparison</t>
  </si>
  <si>
    <t xml:space="preserve">Comparison &amp; 'best apps' content</t>
  </si>
  <si>
    <t xml:space="preserve">Questions like 'best short video apps in India' are answered from list articles. Being on those lists (and having your own honest comparison page) gets you mentioned.</t>
  </si>
  <si>
    <t xml:space="preserve">Own page: 'Bideo vs other short video apps' (honest). Outreach to list-article writers (see Authority tab).</t>
  </si>
  <si>
    <t xml:space="preserve">Bideo appears in 3+ third-party lists</t>
  </si>
  <si>
    <t xml:space="preserve">A10</t>
  </si>
  <si>
    <t xml:space="preserve">Freshness</t>
  </si>
  <si>
    <t xml:space="preserve">Show dates and keep facts current</t>
  </si>
  <si>
    <t xml:space="preserve">AI engines prefer recent, dated information.</t>
  </si>
  <si>
    <t xml:space="preserve">'Last updated' on key pages; update numbers (creators, videos, languages) monthly.</t>
  </si>
  <si>
    <t xml:space="preserve">Dates visible</t>
  </si>
  <si>
    <t xml:space="preserve">A11</t>
  </si>
  <si>
    <t xml:space="preserve">Tracking</t>
  </si>
  <si>
    <t xml:space="preserve">Check AI visibility every month</t>
  </si>
  <si>
    <t xml:space="preserve">There's no Search Console for AI; you have to ask.</t>
  </si>
  <si>
    <t xml:space="preserve">Each month ask ChatGPT, Perplexity, Gemini and Copilot the same 10 prompts (list in Monthly Tracker tab). Record how many mention Bideo.</t>
  </si>
  <si>
    <t xml:space="preserve">Score recorded monthly</t>
  </si>
  <si>
    <t xml:space="preserve">6. ASO — Google Play Store</t>
  </si>
  <si>
    <t xml:space="preserve">How to rank in Play Store search and turn store visitors into installs.</t>
  </si>
  <si>
    <t xml:space="preserve">A. Store listing text (what Play Store search reads)</t>
  </si>
  <si>
    <t xml:space="preserve">G01</t>
  </si>
  <si>
    <t xml:space="preserve">Research</t>
  </si>
  <si>
    <t xml:space="preserve">Keyword research</t>
  </si>
  <si>
    <t xml:space="preserve">You can only rank for words people actually search. Guessing wastes your 30 + 80 + 4,000 characters.</t>
  </si>
  <si>
    <t xml:space="preserve">Sources: Play Console → Statistics → acquisition by search term; Play Store search autocomplete (type 'short video', 'video app hindi'…); competitor listings (Moj, Josh, Chingari, YouTube, etc.). Pick 5–10 main keywords.</t>
  </si>
  <si>
    <t xml:space="preserve">Keyword list agreed</t>
  </si>
  <si>
    <t xml:space="preserve">Title</t>
  </si>
  <si>
    <t xml:space="preserve">App title (max 30 characters)</t>
  </si>
  <si>
    <t xml:space="preserve">The title is the strongest ranking signal on Play. Today it's only 'Bideo' — 25 characters of free keywords are unused.</t>
  </si>
  <si>
    <t xml:space="preserve">Brand + main keyword, e.g. 'Bideo: Short Video App India' (28). Not allowed: emojis, ALL CAPS, words like 'best', '#1', 'free', 'top', or ranking claims.</t>
  </si>
  <si>
    <t xml:space="preserve">PROBLEM — title is just 'Bideo'.</t>
  </si>
  <si>
    <t xml:space="preserve">Text-only change, reviewed by Google before going live. Keep 'Bideo' first so existing users still find it.</t>
  </si>
  <si>
    <t xml:space="preserve">New title live</t>
  </si>
  <si>
    <t xml:space="preserve">Short desc</t>
  </si>
  <si>
    <t xml:space="preserve">Short description (max 80 characters)</t>
  </si>
  <si>
    <t xml:space="preserve">Shown under the title and indexed for search; it's the main sales line.</t>
  </si>
  <si>
    <t xml:space="preserve">Main benefit + 1–2 keywords, e.g. 'Watch &amp; create short videos in Hindi and Indian languages. Grow as a creator.'</t>
  </si>
  <si>
    <t xml:space="preserve">Current: 'Watch, create &amp; share short videos. Discover creators and grow your community.' — generic, no language/India keywords.</t>
  </si>
  <si>
    <t xml:space="preserve">Same as above.</t>
  </si>
  <si>
    <t xml:space="preserve">New short description live</t>
  </si>
  <si>
    <t xml:space="preserve">G04</t>
  </si>
  <si>
    <t xml:space="preserve">Full desc</t>
  </si>
  <si>
    <t xml:space="preserve">Full description (max 4,000 characters)</t>
  </si>
  <si>
    <t xml:space="preserve">Play indexes it. First 3 lines show before 'more' — they must sell.</t>
  </si>
  <si>
    <t xml:space="preserve">Opening lines = benefit; then features for viewers, for creators, languages, safety. Use main keywords naturally ~3–5 times each. No keyword lists, no fake testimonials (policy).</t>
  </si>
  <si>
    <t xml:space="preserve">Avoid keyword stuffing — it can get the listing rejected.</t>
  </si>
  <si>
    <t xml:space="preserve">New description live</t>
  </si>
  <si>
    <t xml:space="preserve">G05</t>
  </si>
  <si>
    <t xml:space="preserve">Developer</t>
  </si>
  <si>
    <t xml:space="preserve">Developer name &amp; contact</t>
  </si>
  <si>
    <t xml:space="preserve">Shown on the listing; a brand/company name builds trust.</t>
  </si>
  <si>
    <t xml:space="preserve">Use a brand or company name as developer name; real support email; website = https://bideo.in; privacy policy URL that actually shows text.</t>
  </si>
  <si>
    <t xml:space="preserve">Package id is com.farhan.bideoapp — this can NEVER be changed (a new id = a new app).</t>
  </si>
  <si>
    <t xml:space="preserve">Do NOT try to change the package name.</t>
  </si>
  <si>
    <t xml:space="preserve">Details updated</t>
  </si>
  <si>
    <t xml:space="preserve">B. Graphics (what makes people tap Install)</t>
  </si>
  <si>
    <t xml:space="preserve">G06</t>
  </si>
  <si>
    <t xml:space="preserve">Icon</t>
  </si>
  <si>
    <t xml:space="preserve">Icon 512×512</t>
  </si>
  <si>
    <t xml:space="preserve">First thing people see in search results; strongly affects tap rate.</t>
  </si>
  <si>
    <t xml:space="preserve">Simple, bold, readable at small size. Test 2 versions with Store listing experiments.</t>
  </si>
  <si>
    <t xml:space="preserve">Test with an experiment, not by switching blindly.</t>
  </si>
  <si>
    <t xml:space="preserve">Winning icon live</t>
  </si>
  <si>
    <t xml:space="preserve">G07</t>
  </si>
  <si>
    <t xml:space="preserve">Screenshots</t>
  </si>
  <si>
    <t xml:space="preserve">4–8 phone screenshots with captions</t>
  </si>
  <si>
    <t xml:space="preserve">Most people decide from the first 2–3 screenshots without reading text.</t>
  </si>
  <si>
    <t xml:space="preserve">Screenshot 1 = main benefit; each with a short caption in large text; show real content; versions in Hindi for Hindi listing.</t>
  </si>
  <si>
    <t xml:space="preserve">New set live</t>
  </si>
  <si>
    <t xml:space="preserve">G08</t>
  </si>
  <si>
    <t xml:space="preserve">Feature graphic</t>
  </si>
  <si>
    <t xml:space="preserve">Feature graphic 1024×500</t>
  </si>
  <si>
    <t xml:space="preserve">Required for featuring and shown with the promo video.</t>
  </si>
  <si>
    <t xml:space="preserve">Brand + one line + phone mockup; no tiny text.</t>
  </si>
  <si>
    <t xml:space="preserve">Uploaded</t>
  </si>
  <si>
    <t xml:space="preserve">G09</t>
  </si>
  <si>
    <t xml:space="preserve">Video</t>
  </si>
  <si>
    <t xml:space="preserve">Promo video (YouTube link, ~30s)</t>
  </si>
  <si>
    <t xml:space="preserve">Shows the app in action; raises installs for many apps.</t>
  </si>
  <si>
    <t xml:space="preserve">Real app footage, first 5s strongest, subtitles.</t>
  </si>
  <si>
    <t xml:space="preserve">Video live on listing</t>
  </si>
  <si>
    <t xml:space="preserve">C. Reach &amp; testing</t>
  </si>
  <si>
    <t xml:space="preserve">G10</t>
  </si>
  <si>
    <t xml:space="preserve">Languages</t>
  </si>
  <si>
    <t xml:space="preserve">Localised listings (Hindi + target languages)</t>
  </si>
  <si>
    <t xml:space="preserve">Ranks for searches typed in those languages and converts better.</t>
  </si>
  <si>
    <t xml:space="preserve">Play Console → Main store listing → Manage translations → add Hindi (and others) with your own translations and translated screenshots.</t>
  </si>
  <si>
    <t xml:space="preserve">Hindi listing live</t>
  </si>
  <si>
    <t xml:space="preserve">G11</t>
  </si>
  <si>
    <t xml:space="preserve">Category</t>
  </si>
  <si>
    <t xml:space="preserve">Category &amp; tags</t>
  </si>
  <si>
    <t xml:space="preserve">Decides which charts and 'similar apps' you appear in.</t>
  </si>
  <si>
    <t xml:space="preserve">Compare 'Video Players &amp; Editors' vs 'Entertainment' vs 'Social' by competitors there; set Store tags in Play Console.</t>
  </si>
  <si>
    <t xml:space="preserve">Change category rarely; note the date in the change log.</t>
  </si>
  <si>
    <t xml:space="preserve">Category + tags reviewed</t>
  </si>
  <si>
    <t xml:space="preserve">G12</t>
  </si>
  <si>
    <t xml:space="preserve">Experiments</t>
  </si>
  <si>
    <t xml:space="preserve">Store listing experiments (A/B tests)</t>
  </si>
  <si>
    <t xml:space="preserve">Lets Google show two versions and tells you which gets more installs — no guessing.</t>
  </si>
  <si>
    <t xml:space="preserve">Test one thing at a time: icon → screenshots → short description. Run until Play shows a result.</t>
  </si>
  <si>
    <t xml:space="preserve">Only one experiment at a time.</t>
  </si>
  <si>
    <t xml:space="preserve">2 experiments completed</t>
  </si>
  <si>
    <t xml:space="preserve">G13</t>
  </si>
  <si>
    <t xml:space="preserve">Custom listings</t>
  </si>
  <si>
    <t xml:space="preserve">Custom store listings</t>
  </si>
  <si>
    <t xml:space="preserve">Different pages for ads/countries/languages convert better.</t>
  </si>
  <si>
    <t xml:space="preserve">Play Console → Custom store listings (e.g. one for Hindi ads).</t>
  </si>
  <si>
    <t xml:space="preserve">1 custom listing live</t>
  </si>
  <si>
    <t xml:space="preserve">G14</t>
  </si>
  <si>
    <t xml:space="preserve">Events</t>
  </si>
  <si>
    <t xml:space="preserve">Promotional content (LiveOps)</t>
  </si>
  <si>
    <t xml:space="preserve">Events and offers show on the store and in search; can bring back users.</t>
  </si>
  <si>
    <t xml:space="preserve">Play Console → Promotional content → e.g. creator contest, festival event.</t>
  </si>
  <si>
    <t xml:space="preserve">1 event run</t>
  </si>
  <si>
    <t xml:space="preserve">D. Quality signals Play uses for ranking</t>
  </si>
  <si>
    <t xml:space="preserve">G15</t>
  </si>
  <si>
    <t xml:space="preserve">Ratings</t>
  </si>
  <si>
    <t xml:space="preserve">Ratings &amp; reviews</t>
  </si>
  <si>
    <t xml:space="preserve">Rating and recent reviews affect both ranking and tap-through.</t>
  </si>
  <si>
    <t xml:space="preserve">In-App Review API at a happy moment (see Inside the App tab). Reply to every review within 48h, especially negative ones.</t>
  </si>
  <si>
    <t xml:space="preserve">OK — rating 4.7.</t>
  </si>
  <si>
    <t xml:space="preserve">Never buy or incentivise reviews (Play policy).</t>
  </si>
  <si>
    <t xml:space="preserve">All reviews answered; rating ≥ 4.5</t>
  </si>
  <si>
    <t xml:space="preserve">G16</t>
  </si>
  <si>
    <t xml:space="preserve">Vitals</t>
  </si>
  <si>
    <t xml:space="preserve">Android vitals: crash &amp; ANR rates</t>
  </si>
  <si>
    <t xml:space="preserve">Above Play's 'bad behaviour' thresholds (user-perceived crash rate 1.09%, ANR rate 0.47%) Play can lower your visibility and show warnings on the listing.</t>
  </si>
  <si>
    <t xml:space="preserve">Play Console → Android vitals weekly; fix top crashes/ANRs first.</t>
  </si>
  <si>
    <t xml:space="preserve">Both rates well under thresholds</t>
  </si>
  <si>
    <t xml:space="preserve">G17</t>
  </si>
  <si>
    <t xml:space="preserve">Policy</t>
  </si>
  <si>
    <t xml:space="preserve">Data safety, content rating, privacy URL correct</t>
  </si>
  <si>
    <t xml:space="preserve">Wrong or missing declarations can get the app removed — the worst ASO outcome.</t>
  </si>
  <si>
    <t xml:space="preserve">Review Data safety form and content rating (user-generated content) whenever features change.</t>
  </si>
  <si>
    <t xml:space="preserve">Declarations match the app</t>
  </si>
  <si>
    <t xml:space="preserve">G18</t>
  </si>
  <si>
    <t xml:space="preserve">Updates</t>
  </si>
  <si>
    <t xml:space="preserve">Regular updates</t>
  </si>
  <si>
    <t xml:space="preserve">Active apps are trusted more by users and Play.</t>
  </si>
  <si>
    <t xml:space="preserve">Release every 2–4 weeks with clear 'What's new' text.</t>
  </si>
  <si>
    <t xml:space="preserve">Use staged rollouts (e.g. 10% → 50% → 100%) so a bad build doesn't hit everyone.</t>
  </si>
  <si>
    <t xml:space="preserve">Update cadence kept</t>
  </si>
  <si>
    <t xml:space="preserve">7. ASO — Apple App Store (only if/when an iPhone app launches)</t>
  </si>
  <si>
    <t xml:space="preserve">Skip this tab until there's an iOS app; mark tasks 'Not needed' for now.</t>
  </si>
  <si>
    <t xml:space="preserve">Only when/if the iPhone app is launched</t>
  </si>
  <si>
    <t xml:space="preserve">I01</t>
  </si>
  <si>
    <t xml:space="preserve">Text</t>
  </si>
  <si>
    <t xml:space="preserve">App name (30), subtitle (30), keyword field (100)</t>
  </si>
  <si>
    <t xml:space="preserve">On the App Store these 3 fields carry almost all search weight; the description is NOT used for search.</t>
  </si>
  <si>
    <t xml:space="preserve">Keyword field: comma-separated, no spaces, don't repeat words already in name/subtitle, singular forms.</t>
  </si>
  <si>
    <t xml:space="preserve">No iOS app seen.</t>
  </si>
  <si>
    <t xml:space="preserve">Fields filled</t>
  </si>
  <si>
    <t xml:space="preserve">I02</t>
  </si>
  <si>
    <t xml:space="preserve">Promotional text (170) &amp; description</t>
  </si>
  <si>
    <t xml:space="preserve">Promotional text can be changed without an update — use for events.</t>
  </si>
  <si>
    <t xml:space="preserve">Same benefit-first structure as Play.</t>
  </si>
  <si>
    <t xml:space="preserve">I03</t>
  </si>
  <si>
    <t xml:space="preserve">Graphics</t>
  </si>
  <si>
    <t xml:space="preserve">Screenshots &amp; app preview videos</t>
  </si>
  <si>
    <t xml:space="preserve">Same reason as Play — decides installs.</t>
  </si>
  <si>
    <t xml:space="preserve">Up to 10 screenshots; up to 3 preview videos (≤30s).</t>
  </si>
  <si>
    <t xml:space="preserve">Universal links (apple-app-site-association)</t>
  </si>
  <si>
    <t xml:space="preserve">Makes bideo.in links open the iPhone app.</t>
  </si>
  <si>
    <t xml:space="preserve">Serve valid JSON at /.well-known/apple-app-site-association (no redirect, Content-Type application/json).</t>
  </si>
  <si>
    <t xml:space="preserve">PROBLEM (only if an iOS app exists) — the file currently returns the homepage HTML.</t>
  </si>
  <si>
    <t xml:space="preserve">Exact-path rule in nginx so it doesn't affect other routes.</t>
  </si>
  <si>
    <t xml:space="preserve">Apple's validator passes</t>
  </si>
  <si>
    <t xml:space="preserve">I05</t>
  </si>
  <si>
    <t xml:space="preserve">Ratings prompt (SKStoreReviewController)</t>
  </si>
  <si>
    <t xml:space="preserve">Ratings drive ranking and conversion.</t>
  </si>
  <si>
    <t xml:space="preserve">Ask at a happy moment; Apple limits how often it shows.</t>
  </si>
  <si>
    <t xml:space="preserve">Prompt live</t>
  </si>
  <si>
    <t xml:space="preserve">I06</t>
  </si>
  <si>
    <t xml:space="preserve">Testing</t>
  </si>
  <si>
    <t xml:space="preserve">Product page optimisation &amp; custom product pages</t>
  </si>
  <si>
    <t xml:space="preserve">A/B testing and per-campaign pages, like Play.</t>
  </si>
  <si>
    <t xml:space="preserve">App Store Connect → Product Page Optimization.</t>
  </si>
  <si>
    <t xml:space="preserve">1 test run</t>
  </si>
  <si>
    <t xml:space="preserve">I07</t>
  </si>
  <si>
    <t xml:space="preserve">Web</t>
  </si>
  <si>
    <t xml:space="preserve">Smart App Banner on the website</t>
  </si>
  <si>
    <t xml:space="preserve">Shows 'Open/Get' banner for iPhone visitors.</t>
  </si>
  <si>
    <t xml:space="preserve">&lt;meta name="apple-itunes-app" content="app-id=…"&gt;</t>
  </si>
  <si>
    <t xml:space="preserve">Banner shows on iPhone</t>
  </si>
  <si>
    <t xml:space="preserve">8. Inside the App — features in the app that power SEO, AEO and ASO</t>
  </si>
  <si>
    <t xml:space="preserve">Changes in the Android app itself: links, upload form, ratings, stability.</t>
  </si>
  <si>
    <t xml:space="preserve">A. App ↔ website connection</t>
  </si>
  <si>
    <t xml:space="preserve">N01</t>
  </si>
  <si>
    <t xml:space="preserve">Share links always use https://bideo.in/v/&lt;id&gt;</t>
  </si>
  <si>
    <t xml:space="preserve">Every share becomes a crawlable page + a link to your site, and opens the app through App Links. Custom schemes (bideo://) or third-party short links don't help SEO.</t>
  </si>
  <si>
    <t xml:space="preserve">Share sheet text: title + https://bideo.in/v/&lt;id&gt;. Same for creators (/c/) and posts (/p/).</t>
  </si>
  <si>
    <t xml:space="preserve">Keep the existing deep-link handling in the app; just make sure the shared URL is the web URL.</t>
  </si>
  <si>
    <t xml:space="preserve">All share links are bideo.in URLs</t>
  </si>
  <si>
    <t xml:space="preserve">App Links</t>
  </si>
  <si>
    <t xml:space="preserve">Verified Android App Links</t>
  </si>
  <si>
    <t xml:space="preserve">bideo.in links open the app directly (no 'open with' dialog), including from Google results on Android.</t>
  </si>
  <si>
    <t xml:space="preserve">android:autoVerify="true" on intent filters for /v/, /c/, /p/. Check with 'adb shell pm get-app-links com.farhan.bideoapp' and Google's Statement List tester.</t>
  </si>
  <si>
    <t xml:space="preserve">OK — /.well-known/assetlinks.json exists and is valid JSON for com.farhan.bideoapp.</t>
  </si>
  <si>
    <t xml:space="preserve">Don't change the app signing key (fingerprints in assetlinks.json must match).</t>
  </si>
  <si>
    <t xml:space="preserve">Links verified on a real device</t>
  </si>
  <si>
    <t xml:space="preserve">N03</t>
  </si>
  <si>
    <t xml:space="preserve">Know which web pages bring installs</t>
  </si>
  <si>
    <t xml:space="preserve">Lets you measure SEO → installs, not just visits.</t>
  </si>
  <si>
    <t xml:space="preserve">'Get the app' buttons link to Play with referrer: …details?id=com.farhan.bideoapp&amp;referrer=utm_source%3Dwebsite%26utm_medium%3D&lt;page&gt;. Read it with the Play Install Referrer API.</t>
  </si>
  <si>
    <t xml:space="preserve">Installs from website visible</t>
  </si>
  <si>
    <t xml:space="preserve">N04</t>
  </si>
  <si>
    <t xml:space="preserve">Old tech</t>
  </si>
  <si>
    <t xml:space="preserve">Don't build on Firebase App Indexing / Dynamic Links</t>
  </si>
  <si>
    <t xml:space="preserve">Both are deprecated/shut down by Google. App Links + the website is the current method.</t>
  </si>
  <si>
    <t xml:space="preserve">Remove any leftover usage when convenient.</t>
  </si>
  <si>
    <t xml:space="preserve">Remove only after confirming nothing still depends on it.</t>
  </si>
  <si>
    <t xml:space="preserve">No deprecated SDKs</t>
  </si>
  <si>
    <t xml:space="preserve">B. Upload &amp; profile — this is where SEO content is created</t>
  </si>
  <si>
    <t xml:space="preserve">N05</t>
  </si>
  <si>
    <t xml:space="preserve">Upload</t>
  </si>
  <si>
    <t xml:space="preserve">Better upload form</t>
  </si>
  <si>
    <t xml:space="preserve">Every video title/description becomes a Google page title and a sitemap entry. Good input here = good SEO for thousands of pages automatically.</t>
  </si>
  <si>
    <t xml:space="preserve">Required title (min ~15 characters), separate description field, language picker, category, hashtags. Tips: 'Describe what happens in the video'. Warn on all-caps / emoji-only titles.</t>
  </si>
  <si>
    <t xml:space="preserve">Make new fields optional for old videos; don't block existing creators.</t>
  </si>
  <si>
    <t xml:space="preserve">New uploads have proper titles</t>
  </si>
  <si>
    <t xml:space="preserve">N06</t>
  </si>
  <si>
    <t xml:space="preserve">Auto captions / transcript</t>
  </si>
  <si>
    <t xml:space="preserve">Gives Google and AI engines text for each video; also helps viewers who watch muted.</t>
  </si>
  <si>
    <t xml:space="preserve">Speech-to-text after upload; show as captions in the app and as text on the web page.</t>
  </si>
  <si>
    <t xml:space="preserve">Run in the background; upload must not wait for it.</t>
  </si>
  <si>
    <t xml:space="preserve">Transcripts shown on video pages</t>
  </si>
  <si>
    <t xml:space="preserve">N07</t>
  </si>
  <si>
    <t xml:space="preserve">Profile</t>
  </si>
  <si>
    <t xml:space="preserve">Complete creator profiles</t>
  </si>
  <si>
    <t xml:space="preserve">Creator pages rank for creator names only if they have a name, handle and bio.</t>
  </si>
  <si>
    <t xml:space="preserve">Ask for display name, @handle, bio, profile photo, links during onboarding.</t>
  </si>
  <si>
    <t xml:space="preserve">Most active creators have full profiles</t>
  </si>
  <si>
    <t xml:space="preserve">N08</t>
  </si>
  <si>
    <t xml:space="preserve">Private/unlisted videos never reach Google</t>
  </si>
  <si>
    <t xml:space="preserve">Privacy protection + no thin pages.</t>
  </si>
  <si>
    <t xml:space="preserve">Private/unlisted → noindex + excluded from sitemap + no public page.</t>
  </si>
  <si>
    <t xml:space="preserve">Tested with a private video</t>
  </si>
  <si>
    <t xml:space="preserve">C. ASO features inside the app</t>
  </si>
  <si>
    <t xml:space="preserve">N09</t>
  </si>
  <si>
    <t xml:space="preserve">In-App Review prompt (Google Play In-App Review API)</t>
  </si>
  <si>
    <t xml:space="preserve">More ratings → better Play ranking and conversion.</t>
  </si>
  <si>
    <t xml:space="preserve">Trigger after a positive moment (e.g. 10th video watched / first upload published). Never on first open or after an error.</t>
  </si>
  <si>
    <t xml:space="preserve">Google limits how often it shows; don't build your own fake rating popup.</t>
  </si>
  <si>
    <t xml:space="preserve">N10</t>
  </si>
  <si>
    <t xml:space="preserve">Fix crashes and ANRs</t>
  </si>
  <si>
    <t xml:space="preserve">Play lowers visibility of apps above crash/ANR thresholds.</t>
  </si>
  <si>
    <t xml:space="preserve">Crashlytics + Play vitals; fix top issues every release.</t>
  </si>
  <si>
    <t xml:space="preserve">Staged rollouts.</t>
  </si>
  <si>
    <t xml:space="preserve">Below thresholds</t>
  </si>
  <si>
    <t xml:space="preserve">N11</t>
  </si>
  <si>
    <t xml:space="preserve">Size</t>
  </si>
  <si>
    <t xml:space="preserve">Keep app small &amp; fast to install</t>
  </si>
  <si>
    <t xml:space="preserve">Big downloads fail or get cancelled on slow networks/low storage — lost installs.</t>
  </si>
  <si>
    <t xml:space="preserve">Android App Bundle, remove unused libraries, compress assets.</t>
  </si>
  <si>
    <t xml:space="preserve">Download size tracked per release</t>
  </si>
  <si>
    <t xml:space="preserve">9. Authority &amp; Off-page — being mentioned across the web</t>
  </si>
  <si>
    <t xml:space="preserve">Links and mentions from other sites make Google and AI engines trust you.</t>
  </si>
  <si>
    <t xml:space="preserve">A. Be mentioned and linked across the web</t>
  </si>
  <si>
    <t xml:space="preserve">O01</t>
  </si>
  <si>
    <t xml:space="preserve">Profiles</t>
  </si>
  <si>
    <t xml:space="preserve">Official social profiles</t>
  </si>
  <si>
    <t xml:space="preserve">Search and AI engines connect your brand through these; they appear in brand searches.</t>
  </si>
  <si>
    <t xml:space="preserve">Instagram, YouTube, X, LinkedIn, Facebook — same name, logo, brand text, link to bideo.in and Play. Add them to Organization 'sameAs'.</t>
  </si>
  <si>
    <t xml:space="preserve">All profiles live &amp; consistent</t>
  </si>
  <si>
    <t xml:space="preserve">O02</t>
  </si>
  <si>
    <t xml:space="preserve">Directories</t>
  </si>
  <si>
    <t xml:space="preserve">Listings on trusted directories</t>
  </si>
  <si>
    <t xml:space="preserve">Easy, legitimate links and facts that AI engines read.</t>
  </si>
  <si>
    <t xml:space="preserve">LinkedIn company page, Crunchbase, Product Hunt, AlternativeTo, Indian startup directories.</t>
  </si>
  <si>
    <t xml:space="preserve">Avoid low-quality 'submit to 500 directories' services.</t>
  </si>
  <si>
    <t xml:space="preserve">5+ listings live</t>
  </si>
  <si>
    <t xml:space="preserve">O03</t>
  </si>
  <si>
    <t xml:space="preserve">PR</t>
  </si>
  <si>
    <t xml:space="preserve">Coverage in Indian tech &amp; creator media</t>
  </si>
  <si>
    <t xml:space="preserve">Independent articles are the strongest trust signal for Google and the main source AI engines quote.</t>
  </si>
  <si>
    <t xml:space="preserve">Pitch a story (creator success, AI video feature, language focus) to tech/startup and creator-economy publications.</t>
  </si>
  <si>
    <t xml:space="preserve">2+ articles published</t>
  </si>
  <si>
    <t xml:space="preserve">O04</t>
  </si>
  <si>
    <t xml:space="preserve">Creators</t>
  </si>
  <si>
    <t xml:space="preserve">Creators link to their Bideo profile</t>
  </si>
  <si>
    <t xml:space="preserve">Hundreds of real links from Instagram/YouTube bios.</t>
  </si>
  <si>
    <t xml:space="preserve">Give creators a profile link + badge; small reward for adding it.</t>
  </si>
  <si>
    <t xml:space="preserve">Links tracked</t>
  </si>
  <si>
    <t xml:space="preserve">O05</t>
  </si>
  <si>
    <t xml:space="preserve">Community</t>
  </si>
  <si>
    <t xml:space="preserve">Helpful answers on Reddit / Quora</t>
  </si>
  <si>
    <t xml:space="preserve">AI engines use these sites heavily.</t>
  </si>
  <si>
    <t xml:space="preserve">Answer real questions honestly; always say you're from Bideo.</t>
  </si>
  <si>
    <t xml:space="preserve">No spam/fake accounts — gets banned and hurts brand.</t>
  </si>
  <si>
    <t xml:space="preserve">Monthly answers posted</t>
  </si>
  <si>
    <t xml:space="preserve">O06</t>
  </si>
  <si>
    <t xml:space="preserve">Wikipedia</t>
  </si>
  <si>
    <t xml:space="preserve">Wikipedia — only later</t>
  </si>
  <si>
    <t xml:space="preserve">Strong for AI answers, but needs independent press coverage first; self-written pages get deleted.</t>
  </si>
  <si>
    <t xml:space="preserve">Wait until there are several independent articles.</t>
  </si>
  <si>
    <t xml:space="preserve">O07</t>
  </si>
  <si>
    <t xml:space="preserve">Never</t>
  </si>
  <si>
    <t xml:space="preserve">Things NOT to do</t>
  </si>
  <si>
    <t xml:space="preserve">These can get the site penalised or the app removed.</t>
  </si>
  <si>
    <t xml:space="preserve">Never: buy backlinks, link networks, fake/paid reviews, keyword stuffing, copy others' content, hidden text.</t>
  </si>
  <si>
    <t xml:space="preserve">Rule followed</t>
  </si>
  <si>
    <t xml:space="preserve">10. Safe Release Rules — how to change things without breaking the working system</t>
  </si>
  <si>
    <t xml:space="preserve">Follow these for every change in tabs 1–9.</t>
  </si>
  <si>
    <t xml:space="preserve">Rules for every SEO / ASO change</t>
  </si>
  <si>
    <t xml:space="preserve">S01</t>
  </si>
  <si>
    <t xml:space="preserve">Process</t>
  </si>
  <si>
    <t xml:space="preserve">One change at a time</t>
  </si>
  <si>
    <t xml:space="preserve">If you change 5 things and traffic drops, you won't know which one did it.</t>
  </si>
  <si>
    <t xml:space="preserve">Deploy one change → watch 48–72h → next change.</t>
  </si>
  <si>
    <t xml:space="preserve">Change log kept</t>
  </si>
  <si>
    <t xml:space="preserve">S02</t>
  </si>
  <si>
    <t xml:space="preserve">Staging first</t>
  </si>
  <si>
    <t xml:space="preserve">Catch breakage before users or Google see it.</t>
  </si>
  <si>
    <t xml:space="preserve">Every server/nginx/rendering change goes to staging first.</t>
  </si>
  <si>
    <t xml:space="preserve">S03</t>
  </si>
  <si>
    <t xml:space="preserve">nginx</t>
  </si>
  <si>
    <t xml:space="preserve">Test config before reload</t>
  </si>
  <si>
    <t xml:space="preserve">A typo in nginx config can take the whole site down.</t>
  </si>
  <si>
    <t xml:space="preserve">'sudo nginx -t' → only if OK, 'sudo systemctl reload nginx' (reload, not restart). Keep a copy of the old config.</t>
  </si>
  <si>
    <t xml:space="preserve">S04</t>
  </si>
  <si>
    <t xml:space="preserve">URLs</t>
  </si>
  <si>
    <t xml:space="preserve">Never change existing URL formats</t>
  </si>
  <si>
    <t xml:space="preserve">Google and every shared WhatsApp link point to /v/&lt;id&gt;, /c/&lt;id&gt;, /p/&lt;id&gt;. Changing them breaks links and loses rankings.</t>
  </si>
  <si>
    <t xml:space="preserve">If a change is unavoidable: permanent 301 redirect from every old URL to the new one, forever.</t>
  </si>
  <si>
    <t xml:space="preserve">S05</t>
  </si>
  <si>
    <t xml:space="preserve">Smoke test</t>
  </si>
  <si>
    <t xml:space="preserve">After every deploy, check these 11 things</t>
  </si>
  <si>
    <t xml:space="preserve">Fast proof that nothing broke.</t>
  </si>
  <si>
    <t xml:space="preserve">1 homepage loads · 2 a video page loads &amp; plays · 3 a creator page loads · 4 WhatsApp link opens the app on Android · 5 login works · 6 upload works · 7 /sitemap.xml is valid XML · 8 /robots.txt unchanged (no 'Disallow: /') · 9 /.well-known/assetlinks.json is JSON · 10 no 'noindex' on public pages · 11 /api/videos logged-out shows no phone/email/private videos.</t>
  </si>
  <si>
    <t xml:space="preserve">All 11 pass</t>
  </si>
  <si>
    <t xml:space="preserve">S06</t>
  </si>
  <si>
    <t xml:space="preserve">Watch for accidental noindex / Disallow</t>
  </si>
  <si>
    <t xml:space="preserve">The most common SEO disaster: a staging setting copied to live removes the whole site from Google.</t>
  </si>
  <si>
    <t xml:space="preserve">Check robots.txt and meta robots after every deploy (item 8 &amp; 10 above).</t>
  </si>
  <si>
    <t xml:space="preserve">S07</t>
  </si>
  <si>
    <t xml:space="preserve">Validate structured data before deploying</t>
  </si>
  <si>
    <t xml:space="preserve">Broken JSON-LD is ignored or flagged.</t>
  </si>
  <si>
    <t xml:space="preserve">Rich Results Test / validator.schema.org on staging URLs.</t>
  </si>
  <si>
    <t xml:space="preserve">S08</t>
  </si>
  <si>
    <t xml:space="preserve">App</t>
  </si>
  <si>
    <t xml:space="preserve">Never change package name or signing key</t>
  </si>
  <si>
    <t xml:space="preserve">Changing them = a different app (lose all installs/ratings) and breaks App Links.</t>
  </si>
  <si>
    <t xml:space="preserve">S09</t>
  </si>
  <si>
    <t xml:space="preserve">ASO</t>
  </si>
  <si>
    <t xml:space="preserve">Log every store listing change with date</t>
  </si>
  <si>
    <t xml:space="preserve">Store ranking changes take days; the log tells you what caused what.</t>
  </si>
  <si>
    <t xml:space="preserve">Add a row to the change log below/your tracker for each change.</t>
  </si>
  <si>
    <t xml:space="preserve">S10</t>
  </si>
  <si>
    <t xml:space="preserve">Rollback</t>
  </si>
  <si>
    <t xml:space="preserve">Know how to undo</t>
  </si>
  <si>
    <t xml:space="preserve">Fast recovery if something breaks.</t>
  </si>
  <si>
    <t xml:space="preserve">Previous build + previous nginx config kept; steps written down.</t>
  </si>
  <si>
    <t xml:space="preserve">Rollback tested</t>
  </si>
  <si>
    <t xml:space="preserve">11. Monthly Tracker — SEO, AEO and ASO results</t>
  </si>
  <si>
    <t xml:space="preserve">Yellow cells (blue text) = type in once a month. Dark-header columns are calculated. Row 6 is an EXAMPLE — replace it with your real baseline.</t>
  </si>
  <si>
    <t xml:space="preserve">Inputs (from Search Console, Bing, GA4, Play Console, AI checks)</t>
  </si>
  <si>
    <t xml:space="preserve">Calculated</t>
  </si>
  <si>
    <t xml:space="preserve">Month</t>
  </si>
  <si>
    <t xml:space="preserve">Google indexed pages</t>
  </si>
  <si>
    <t xml:space="preserve">Google impressions</t>
  </si>
  <si>
    <t xml:space="preserve">Google clicks</t>
  </si>
  <si>
    <t xml:space="preserve">Avg. position</t>
  </si>
  <si>
    <t xml:space="preserve">Bing clicks</t>
  </si>
  <si>
    <t xml:space="preserve">Website → Play clicks</t>
  </si>
  <si>
    <t xml:space="preserve">Play store visitors</t>
  </si>
  <si>
    <t xml:space="preserve">Play installs (search)</t>
  </si>
  <si>
    <t xml:space="preserve">Play installs (explore)</t>
  </si>
  <si>
    <t xml:space="preserve">Play installs (all store)</t>
  </si>
  <si>
    <t xml:space="preserve">Play rating</t>
  </si>
  <si>
    <t xml:space="preserve">Total reviews</t>
  </si>
  <si>
    <t xml:space="preserve">Crash rate %</t>
  </si>
  <si>
    <t xml:space="preserve">ANR rate %</t>
  </si>
  <si>
    <t xml:space="preserve">AI prompts mentioning Bideo (of 10)</t>
  </si>
  <si>
    <t xml:space="preserve">Google CTR</t>
  </si>
  <si>
    <t xml:space="preserve">Google clicks growth vs last month</t>
  </si>
  <si>
    <t xml:space="preserve">Store conversion (installs ÷ visitors)</t>
  </si>
  <si>
    <t xml:space="preserve">Search share of store installs</t>
  </si>
  <si>
    <t xml:space="preserve">AI visibility score</t>
  </si>
  <si>
    <t xml:space="preserve">Vitals check</t>
  </si>
  <si>
    <t xml:space="preserve">Play 'bad behaviour' thresholds (from Google Play Console docs)</t>
  </si>
  <si>
    <t xml:space="preserve">User-perceived crash rate</t>
  </si>
  <si>
    <t xml:space="preserve">Source: Google Play Console Help — Android vitals. Check the page if Google updates them.</t>
  </si>
  <si>
    <t xml:space="preserve">User-perceived ANR rate</t>
  </si>
  <si>
    <t xml:space="preserve">The 10 AI prompts to ask every month (ChatGPT, Perplexity, Gemini, Copilot)</t>
  </si>
  <si>
    <t xml:space="preserve">1. What is Bideo app?</t>
  </si>
  <si>
    <t xml:space="preserve">2. Is Bideo app safe to use?</t>
  </si>
  <si>
    <t xml:space="preserve">3. Best short video apps in India</t>
  </si>
  <si>
    <t xml:space="preserve">4. Best apps to earn money by making videos in India</t>
  </si>
  <si>
    <t xml:space="preserve">5. Short video app for Hindi creators</t>
  </si>
  <si>
    <t xml:space="preserve">6. Alternatives to Moj / Josh for creators</t>
  </si>
  <si>
    <t xml:space="preserve">7. How to grow as a small video creator in India</t>
  </si>
  <si>
    <t xml:space="preserve">8. Apps to watch regional short videos</t>
  </si>
  <si>
    <t xml:space="preserve">9. Bideo vs YouTube Shorts</t>
  </si>
  <si>
    <t xml:space="preserve">10. Where can I upload AI-made videos and get views?</t>
  </si>
  <si>
    <t xml:space="preserve">Where to find each number</t>
  </si>
  <si>
    <t xml:space="preserve">• Indexed pages: Search Console → Indexing → Pages ('Indexed').</t>
  </si>
  <si>
    <t xml:space="preserve">• Impressions / clicks / position: Search Console → Performance (last month).</t>
  </si>
  <si>
    <t xml:space="preserve">• Bing clicks: Bing Webmaster Tools → Search Performance.</t>
  </si>
  <si>
    <t xml:space="preserve">• Website → Play clicks: GA4 event 'download_app_click'.</t>
  </si>
  <si>
    <t xml:space="preserve">• Store visitors / installs by source: Play Console → Grow → Store performance / Store analysis (acquisition by traffic source).</t>
  </si>
  <si>
    <t xml:space="preserve">• Crash / ANR: Play Console → Android vitals.</t>
  </si>
  <si>
    <t xml:space="preserve">• Row 6 numbers are invented examples to show the format.</t>
  </si>
</sst>
</file>

<file path=xl/styles.xml><?xml version="1.0" encoding="utf-8"?>
<styleSheet xmlns="http://schemas.openxmlformats.org/spreadsheetml/2006/main">
  <numFmts count="8">
    <numFmt numFmtId="164" formatCode="General"/>
    <numFmt numFmtId="165" formatCode="0%"/>
    <numFmt numFmtId="166" formatCode="mm/yy"/>
    <numFmt numFmtId="167" formatCode="#,##0"/>
    <numFmt numFmtId="168" formatCode="0.0"/>
    <numFmt numFmtId="169" formatCode="0.00%"/>
    <numFmt numFmtId="170" formatCode="0"/>
    <numFmt numFmtId="171" formatCode="0.0%"/>
  </numFmts>
  <fonts count="22">
    <font>
      <sz val="11"/>
      <color theme="1"/>
      <name val="Calibri"/>
      <family val="2"/>
      <charset val="1"/>
    </font>
    <font>
      <sz val="10"/>
      <name val="Arial"/>
      <family val="0"/>
    </font>
    <font>
      <sz val="10"/>
      <name val="Arial"/>
      <family val="0"/>
    </font>
    <font>
      <sz val="10"/>
      <name val="Arial"/>
      <family val="0"/>
    </font>
    <font>
      <b val="true"/>
      <sz val="18"/>
      <color rgb="FF1F3864"/>
      <name val="Arial"/>
      <family val="0"/>
      <charset val="1"/>
    </font>
    <font>
      <i val="true"/>
      <sz val="11"/>
      <color rgb="FF404040"/>
      <name val="Arial"/>
      <family val="0"/>
      <charset val="1"/>
    </font>
    <font>
      <b val="true"/>
      <sz val="12"/>
      <color rgb="FF1F3864"/>
      <name val="Arial"/>
      <family val="0"/>
      <charset val="1"/>
    </font>
    <font>
      <sz val="10"/>
      <color rgb="FF000000"/>
      <name val="Arial"/>
      <family val="0"/>
      <charset val="1"/>
    </font>
    <font>
      <b val="true"/>
      <sz val="11"/>
      <color rgb="FFC00000"/>
      <name val="Arial"/>
      <family val="0"/>
      <charset val="1"/>
    </font>
    <font>
      <b val="true"/>
      <sz val="10"/>
      <color rgb="FF000000"/>
      <name val="Arial"/>
      <family val="0"/>
      <charset val="1"/>
    </font>
    <font>
      <b val="true"/>
      <sz val="10"/>
      <color rgb="FFFFFFFF"/>
      <name val="Arial"/>
      <family val="0"/>
      <charset val="1"/>
    </font>
    <font>
      <sz val="9"/>
      <color rgb="FF000000"/>
      <name val="Arial"/>
      <family val="0"/>
      <charset val="1"/>
    </font>
    <font>
      <i val="true"/>
      <sz val="8"/>
      <color rgb="FF595959"/>
      <name val="Arial"/>
      <family val="0"/>
      <charset val="1"/>
    </font>
    <font>
      <sz val="9"/>
      <color rgb="FF595959"/>
      <name val="Arial"/>
      <family val="0"/>
      <charset val="1"/>
    </font>
    <font>
      <b val="true"/>
      <sz val="14"/>
      <color rgb="FF1F3864"/>
      <name val="Arial"/>
      <family val="0"/>
      <charset val="1"/>
    </font>
    <font>
      <i val="true"/>
      <sz val="10"/>
      <color rgb="FF595959"/>
      <name val="Arial"/>
      <family val="0"/>
      <charset val="1"/>
    </font>
    <font>
      <b val="true"/>
      <sz val="10"/>
      <color rgb="FF1F3864"/>
      <name val="Arial"/>
      <family val="0"/>
      <charset val="1"/>
    </font>
    <font>
      <sz val="10"/>
      <color rgb="FF0000FF"/>
      <name val="Arial"/>
      <family val="0"/>
      <charset val="1"/>
    </font>
    <font>
      <b val="true"/>
      <sz val="9"/>
      <color rgb="FF1F3864"/>
      <name val="Arial"/>
      <family val="0"/>
      <charset val="1"/>
    </font>
    <font>
      <b val="true"/>
      <sz val="9"/>
      <color rgb="FF404040"/>
      <name val="Arial"/>
      <family val="0"/>
      <charset val="1"/>
    </font>
    <font>
      <b val="true"/>
      <sz val="9"/>
      <color rgb="FFFFFFFF"/>
      <name val="Arial"/>
      <family val="0"/>
      <charset val="1"/>
    </font>
    <font>
      <sz val="9"/>
      <color rgb="FF0000FF"/>
      <name val="Arial"/>
      <family val="0"/>
      <charset val="1"/>
    </font>
  </fonts>
  <fills count="6">
    <fill>
      <patternFill patternType="none"/>
    </fill>
    <fill>
      <patternFill patternType="gray125"/>
    </fill>
    <fill>
      <patternFill patternType="solid">
        <fgColor rgb="FF1F3864"/>
        <bgColor rgb="FF1F4E79"/>
      </patternFill>
    </fill>
    <fill>
      <patternFill patternType="solid">
        <fgColor rgb="FFD9E1F2"/>
        <bgColor rgb="FFDDEBF7"/>
      </patternFill>
    </fill>
    <fill>
      <patternFill patternType="solid">
        <fgColor rgb="FFFFF2CC"/>
        <bgColor rgb="FFFCE4D6"/>
      </patternFill>
    </fill>
    <fill>
      <patternFill patternType="solid">
        <fgColor rgb="FF404040"/>
        <bgColor rgb="FF375623"/>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true" applyAlignment="false" applyProtection="false">
      <alignment horizontal="general" vertical="bottom" textRotation="0" wrapText="false" indent="0" shrinkToFit="false"/>
      <protection locked="true" hidden="false"/>
    </xf>
    <xf numFmtId="164" fontId="8" fillId="0" borderId="0" xfId="0" applyFont="true" applyBorder="true" applyAlignment="false" applyProtection="false">
      <alignment horizontal="general" vertical="bottom" textRotation="0" wrapText="false" indent="0" shrinkToFit="false"/>
      <protection locked="true" hidden="false"/>
    </xf>
    <xf numFmtId="164" fontId="9" fillId="0" borderId="0" xfId="0" applyFont="true" applyBorder="true" applyAlignment="false" applyProtection="false">
      <alignment horizontal="general" vertical="bottom" textRotation="0" wrapText="false" indent="0" shrinkToFit="false"/>
      <protection locked="true" hidden="false"/>
    </xf>
    <xf numFmtId="164" fontId="10" fillId="2" borderId="1" xfId="0" applyFont="true" applyBorder="true" applyAlignment="true" applyProtection="false">
      <alignment horizontal="center" vertical="top" textRotation="0" wrapText="true" indent="0" shrinkToFit="false"/>
      <protection locked="true" hidden="false"/>
    </xf>
    <xf numFmtId="164" fontId="9" fillId="0" borderId="1" xfId="0" applyFont="true" applyBorder="true" applyAlignment="fals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center" vertical="top" textRotation="0" wrapText="true" indent="0" shrinkToFit="false"/>
      <protection locked="true" hidden="false"/>
    </xf>
    <xf numFmtId="165" fontId="7" fillId="0" borderId="1" xfId="0" applyFont="true" applyBorder="true" applyAlignment="true" applyProtection="false">
      <alignment horizontal="center" vertical="top" textRotation="0" wrapText="true" indent="0" shrinkToFit="false"/>
      <protection locked="true" hidden="false"/>
    </xf>
    <xf numFmtId="164" fontId="11" fillId="0" borderId="1" xfId="0" applyFont="true" applyBorder="true" applyAlignment="true" applyProtection="false">
      <alignment horizontal="general" vertical="top" textRotation="0" wrapText="tru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9" fillId="0" borderId="1" xfId="0" applyFont="true" applyBorder="true" applyAlignment="true" applyProtection="false">
      <alignment horizontal="center" vertical="top" textRotation="0" wrapText="true" indent="0" shrinkToFit="false"/>
      <protection locked="true" hidden="false"/>
    </xf>
    <xf numFmtId="165" fontId="9" fillId="0" borderId="1" xfId="0" applyFont="true" applyBorder="true" applyAlignment="true" applyProtection="false">
      <alignment horizontal="center" vertical="top" textRotation="0" wrapText="tru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4" fontId="13" fillId="0" borderId="0" xfId="0" applyFont="true" applyBorder="true" applyAlignment="true" applyProtection="false">
      <alignment horizontal="general" vertical="top" textRotation="0" wrapText="true" indent="0" shrinkToFit="false"/>
      <protection locked="true" hidden="false"/>
    </xf>
    <xf numFmtId="164" fontId="14" fillId="0" borderId="0" xfId="0" applyFont="true" applyBorder="false" applyAlignment="false" applyProtection="false">
      <alignment horizontal="general" vertical="bottom" textRotation="0" wrapText="false" indent="0" shrinkToFit="false"/>
      <protection locked="true" hidden="false"/>
    </xf>
    <xf numFmtId="164" fontId="15" fillId="0" borderId="0" xfId="0" applyFont="true" applyBorder="false" applyAlignment="false" applyProtection="false">
      <alignment horizontal="general" vertical="bottom" textRotation="0" wrapText="false" indent="0" shrinkToFit="false"/>
      <protection locked="true" hidden="false"/>
    </xf>
    <xf numFmtId="164" fontId="9" fillId="0" borderId="1" xfId="0" applyFont="true" applyBorder="true" applyAlignment="true" applyProtection="false">
      <alignment horizontal="general" vertical="top" textRotation="0" wrapText="tru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15" fillId="0" borderId="0" xfId="0" applyFont="true" applyBorder="true" applyAlignment="true" applyProtection="false">
      <alignment horizontal="general" vertical="top" textRotation="0" wrapText="true" indent="0" shrinkToFit="false"/>
      <protection locked="true" hidden="false"/>
    </xf>
    <xf numFmtId="164" fontId="16" fillId="3" borderId="1" xfId="0" applyFont="true" applyBorder="true" applyAlignment="false" applyProtection="false">
      <alignment horizontal="general" vertical="bottom" textRotation="0" wrapText="false" indent="0" shrinkToFit="false"/>
      <protection locked="true" hidden="false"/>
    </xf>
    <xf numFmtId="164" fontId="17" fillId="4" borderId="1" xfId="0" applyFont="true" applyBorder="true" applyAlignment="true" applyProtection="false">
      <alignment horizontal="general" vertical="top" textRotation="0" wrapText="true" indent="0" shrinkToFit="false"/>
      <protection locked="true" hidden="false"/>
    </xf>
    <xf numFmtId="164" fontId="17" fillId="4" borderId="1" xfId="0" applyFont="true" applyBorder="true" applyAlignment="true" applyProtection="false">
      <alignment horizontal="center" vertical="top" textRotation="0" wrapText="true" indent="0" shrinkToFit="false"/>
      <protection locked="true" hidden="false"/>
    </xf>
    <xf numFmtId="164" fontId="18" fillId="0" borderId="0" xfId="0" applyFont="true" applyBorder="false" applyAlignment="false" applyProtection="false">
      <alignment horizontal="general" vertical="bottom" textRotation="0" wrapText="false" indent="0" shrinkToFit="false"/>
      <protection locked="true" hidden="false"/>
    </xf>
    <xf numFmtId="164" fontId="19" fillId="0" borderId="0" xfId="0" applyFont="true" applyBorder="false" applyAlignment="false" applyProtection="false">
      <alignment horizontal="general" vertical="bottom" textRotation="0" wrapText="false" indent="0" shrinkToFit="false"/>
      <protection locked="true" hidden="false"/>
    </xf>
    <xf numFmtId="164" fontId="20" fillId="2" borderId="1" xfId="0" applyFont="true" applyBorder="true" applyAlignment="true" applyProtection="false">
      <alignment horizontal="center" vertical="top" textRotation="0" wrapText="true" indent="0" shrinkToFit="false"/>
      <protection locked="true" hidden="false"/>
    </xf>
    <xf numFmtId="164" fontId="20" fillId="5" borderId="1" xfId="0" applyFont="true" applyBorder="true" applyAlignment="true" applyProtection="false">
      <alignment horizontal="center" vertical="top" textRotation="0" wrapText="true" indent="0" shrinkToFit="false"/>
      <protection locked="true" hidden="false"/>
    </xf>
    <xf numFmtId="166" fontId="21" fillId="4" borderId="1" xfId="0" applyFont="true" applyBorder="true" applyAlignment="false" applyProtection="false">
      <alignment horizontal="general" vertical="bottom" textRotation="0" wrapText="false" indent="0" shrinkToFit="false"/>
      <protection locked="true" hidden="false"/>
    </xf>
    <xf numFmtId="167" fontId="21" fillId="4" borderId="1" xfId="0" applyFont="true" applyBorder="true" applyAlignment="false" applyProtection="false">
      <alignment horizontal="general" vertical="bottom" textRotation="0" wrapText="false" indent="0" shrinkToFit="false"/>
      <protection locked="true" hidden="false"/>
    </xf>
    <xf numFmtId="168" fontId="21" fillId="4" borderId="1" xfId="0" applyFont="true" applyBorder="true" applyAlignment="false" applyProtection="false">
      <alignment horizontal="general" vertical="bottom" textRotation="0" wrapText="false" indent="0" shrinkToFit="false"/>
      <protection locked="true" hidden="false"/>
    </xf>
    <xf numFmtId="169" fontId="21" fillId="4" borderId="1" xfId="0" applyFont="true" applyBorder="true" applyAlignment="false" applyProtection="false">
      <alignment horizontal="general" vertical="bottom" textRotation="0" wrapText="false" indent="0" shrinkToFit="false"/>
      <protection locked="true" hidden="false"/>
    </xf>
    <xf numFmtId="170" fontId="21" fillId="4" borderId="1" xfId="0" applyFont="true" applyBorder="true" applyAlignment="false" applyProtection="false">
      <alignment horizontal="general" vertical="bottom" textRotation="0" wrapText="false" indent="0" shrinkToFit="false"/>
      <protection locked="true" hidden="false"/>
    </xf>
    <xf numFmtId="171" fontId="11" fillId="0" borderId="1" xfId="0" applyFont="true" applyBorder="true" applyAlignment="false" applyProtection="false">
      <alignment horizontal="general" vertical="bottom" textRotation="0" wrapText="false" indent="0" shrinkToFit="false"/>
      <protection locked="true" hidden="false"/>
    </xf>
    <xf numFmtId="165" fontId="11" fillId="0" borderId="1" xfId="0" applyFont="true" applyBorder="true" applyAlignment="false" applyProtection="false">
      <alignment horizontal="general" vertical="bottom" textRotation="0" wrapText="false" indent="0" shrinkToFit="false"/>
      <protection locked="true" hidden="false"/>
    </xf>
    <xf numFmtId="164" fontId="11" fillId="0" borderId="1" xfId="0" applyFont="true" applyBorder="true" applyAlignment="false" applyProtection="false">
      <alignment horizontal="general" vertical="bottom" textRotation="0" wrapText="false" indent="0" shrinkToFit="false"/>
      <protection locked="true" hidden="false"/>
    </xf>
    <xf numFmtId="164" fontId="16" fillId="0"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0">
    <dxf>
      <font>
        <name val="Arial"/>
        <charset val="1"/>
        <family val="0"/>
        <b val="1"/>
      </font>
      <fill>
        <patternFill>
          <bgColor rgb="FFFFC7CE"/>
        </patternFill>
      </fill>
    </dxf>
    <dxf>
      <font>
        <name val="Arial"/>
        <charset val="1"/>
        <family val="0"/>
        <b val="1"/>
      </font>
      <fill>
        <patternFill>
          <bgColor rgb="FFC6EFCE"/>
        </patternFill>
      </fill>
    </dxf>
    <dxf>
      <font>
        <name val="Arial"/>
        <charset val="1"/>
        <family val="0"/>
        <b val="1"/>
      </font>
      <fill>
        <patternFill>
          <bgColor rgb="FFFFE699"/>
        </patternFill>
      </fill>
    </dxf>
    <dxf>
      <font>
        <name val="Arial"/>
        <charset val="1"/>
        <family val="0"/>
        <b val="1"/>
      </font>
      <fill>
        <patternFill>
          <bgColor rgb="FFFCE4D6"/>
        </patternFill>
      </fill>
    </dxf>
    <dxf>
      <font>
        <name val="Arial"/>
        <charset val="1"/>
        <family val="0"/>
        <b val="1"/>
      </font>
      <fill>
        <patternFill>
          <bgColor rgb="FFD9D9D9"/>
        </patternFill>
      </fill>
    </dxf>
    <dxf>
      <fill>
        <patternFill patternType="solid">
          <fgColor rgb="FF1F3864"/>
          <bgColor rgb="FF000000"/>
        </patternFill>
      </fill>
    </dxf>
    <dxf>
      <fill>
        <patternFill patternType="solid">
          <fgColor rgb="FFD9E1F2"/>
          <bgColor rgb="FF000000"/>
        </patternFill>
      </fill>
    </dxf>
    <dxf>
      <fill>
        <patternFill patternType="solid">
          <bgColor rgb="FF000000"/>
        </patternFill>
      </fill>
    </dxf>
    <dxf>
      <fill>
        <patternFill patternType="solid">
          <fgColor rgb="FF000000"/>
          <bgColor rgb="FF000000"/>
        </patternFill>
      </fill>
    </dxf>
    <dxf>
      <fill>
        <patternFill patternType="solid">
          <fgColor rgb="FFFFFFFF"/>
          <bgColor rgb="FF000000"/>
        </patternFill>
      </fill>
    </dxf>
    <dxf>
      <fill>
        <patternFill patternType="solid">
          <fgColor rgb="FFC00000"/>
          <bgColor rgb="FF000000"/>
        </patternFill>
      </fill>
    </dxf>
    <dxf>
      <fill>
        <patternFill patternType="solid">
          <fgColor rgb="FFF8CBAD"/>
          <bgColor rgb="FF000000"/>
        </patternFill>
      </fill>
    </dxf>
    <dxf>
      <fill>
        <patternFill patternType="solid">
          <fgColor rgb="FFFFE699"/>
          <bgColor rgb="FF000000"/>
        </patternFill>
      </fill>
    </dxf>
    <dxf>
      <fill>
        <patternFill patternType="solid">
          <fgColor rgb="FF7F6000"/>
          <bgColor rgb="FF000000"/>
        </patternFill>
      </fill>
    </dxf>
    <dxf>
      <fill>
        <patternFill patternType="solid">
          <fgColor rgb="FF9C0006"/>
          <bgColor rgb="FF000000"/>
        </patternFill>
      </fill>
    </dxf>
    <dxf>
      <fill>
        <patternFill patternType="solid">
          <fgColor rgb="FFE2EFDA"/>
          <bgColor rgb="FF000000"/>
        </patternFill>
      </fill>
    </dxf>
    <dxf>
      <fill>
        <patternFill patternType="solid">
          <fgColor rgb="FFFFF2CC"/>
          <bgColor rgb="FF000000"/>
        </patternFill>
      </fill>
    </dxf>
    <dxf>
      <fill>
        <patternFill patternType="solid">
          <fgColor rgb="FF0000FF"/>
          <bgColor rgb="FF000000"/>
        </patternFill>
      </fill>
    </dxf>
    <dxf>
      <font>
        <name val="Arial"/>
        <charset val="1"/>
        <family val="0"/>
        <b val="1"/>
        <color rgb="FF9C0006"/>
      </font>
      <fill>
        <patternFill>
          <bgColor rgb="FFF8CBAD"/>
        </patternFill>
      </fill>
    </dxf>
    <dxf>
      <font>
        <name val="Arial"/>
        <charset val="1"/>
        <family val="0"/>
        <b val="1"/>
        <color rgb="FF7F6000"/>
      </font>
      <fill>
        <patternFill>
          <bgColor rgb="FFFFE699"/>
        </patternFill>
      </fill>
    </dxf>
    <dxf>
      <font>
        <name val="Arial"/>
        <charset val="1"/>
        <family val="0"/>
        <b val="1"/>
        <color rgb="FF375623"/>
      </font>
      <fill>
        <patternFill>
          <bgColor rgb="FFE2EFDA"/>
        </patternFill>
      </fill>
    </dxf>
    <dxf>
      <fill>
        <patternFill>
          <bgColor rgb="FFFFC7CE"/>
        </patternFill>
      </fill>
    </dxf>
    <dxf>
      <fill>
        <patternFill>
          <bgColor rgb="FFFFE699"/>
        </patternFill>
      </fill>
    </dxf>
    <dxf>
      <fill>
        <patternFill>
          <bgColor rgb="FFE2EFDA"/>
        </patternFill>
      </fill>
    </dxf>
    <dxf>
      <fill>
        <patternFill>
          <bgColor rgb="FFC6EFCE"/>
        </patternFill>
      </fill>
    </dxf>
    <dxf>
      <fill>
        <patternFill>
          <bgColor rgb="FFDDEBF7"/>
        </patternFill>
      </fill>
    </dxf>
    <dxf>
      <font>
        <name val="Arial"/>
        <charset val="1"/>
        <family val="0"/>
        <b val="1"/>
        <color rgb="FFC00000"/>
      </font>
    </dxf>
    <dxf>
      <font>
        <name val="Arial"/>
        <charset val="1"/>
        <family val="0"/>
        <b val="1"/>
        <color rgb="FF006100"/>
      </font>
    </dxf>
    <dxf>
      <fill>
        <patternFill patternType="solid">
          <fgColor rgb="FF006100"/>
          <bgColor rgb="FF000000"/>
        </patternFill>
      </fill>
    </dxf>
    <dxf>
      <fill>
        <patternFill patternType="solid">
          <fgColor rgb="FF375623"/>
          <bgColor rgb="FF000000"/>
        </patternFill>
      </fill>
    </dxf>
  </dxfs>
  <colors>
    <indexedColors>
      <rgbColor rgb="FF000000"/>
      <rgbColor rgb="FFFFFFFF"/>
      <rgbColor rgb="FFFF0000"/>
      <rgbColor rgb="FF00FF00"/>
      <rgbColor rgb="FF0000FF"/>
      <rgbColor rgb="FFFFFF00"/>
      <rgbColor rgb="FFFF00FF"/>
      <rgbColor rgb="FF00FFFF"/>
      <rgbColor rgb="FF9C0006"/>
      <rgbColor rgb="FF006100"/>
      <rgbColor rgb="FF000080"/>
      <rgbColor rgb="FF7F6000"/>
      <rgbColor rgb="FF800080"/>
      <rgbColor rgb="FF008080"/>
      <rgbColor rgb="FFBFBFBF"/>
      <rgbColor rgb="FF808080"/>
      <rgbColor rgb="FF9999FF"/>
      <rgbColor rgb="FF7030A0"/>
      <rgbColor rgb="FFFFF2CC"/>
      <rgbColor rgb="FFDDEBF7"/>
      <rgbColor rgb="FF660066"/>
      <rgbColor rgb="FFFF8080"/>
      <rgbColor rgb="FF0066CC"/>
      <rgbColor rgb="FFD9D9D9"/>
      <rgbColor rgb="FF000080"/>
      <rgbColor rgb="FFFF00FF"/>
      <rgbColor rgb="FFFFFF00"/>
      <rgbColor rgb="FF00FFFF"/>
      <rgbColor rgb="FF800080"/>
      <rgbColor rgb="FFC00000"/>
      <rgbColor rgb="FF008080"/>
      <rgbColor rgb="FF0000FF"/>
      <rgbColor rgb="FF00CCFF"/>
      <rgbColor rgb="FFE2EFDA"/>
      <rgbColor rgb="FFC6EFCE"/>
      <rgbColor rgb="FFFFE699"/>
      <rgbColor rgb="FFD9E1F2"/>
      <rgbColor rgb="FFFFC7CE"/>
      <rgbColor rgb="FFFCE4D6"/>
      <rgbColor rgb="FFF8CBAD"/>
      <rgbColor rgb="FF2E75B6"/>
      <rgbColor rgb="FF33CCCC"/>
      <rgbColor rgb="FF99CC00"/>
      <rgbColor rgb="FFFFCC00"/>
      <rgbColor rgb="FFBF8F00"/>
      <rgbColor rgb="FFED7D31"/>
      <rgbColor rgb="FF595959"/>
      <rgbColor rgb="FF969696"/>
      <rgbColor rgb="FF1F3864"/>
      <rgbColor rgb="FF548235"/>
      <rgbColor rgb="FF003300"/>
      <rgbColor rgb="FF375623"/>
      <rgbColor rgb="FFC55A11"/>
      <rgbColor rgb="FF993366"/>
      <rgbColor rgb="FF1F4E79"/>
      <rgbColor rgb="FF404040"/>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drawings/drawing5.xml><?xml version="1.0" encoding="utf-8"?>
<xdr:wsDr xmlns:xdr="http://schemas.openxmlformats.org/drawingml/2006/spreadsheetDrawing" xmlns:a="http://schemas.openxmlformats.org/drawingml/2006/main" xmlns:r="http://schemas.openxmlformats.org/officeDocument/2006/relationships"/>
</file>

<file path=xl/drawings/drawing6.xml><?xml version="1.0" encoding="utf-8"?>
<xdr:wsDr xmlns:xdr="http://schemas.openxmlformats.org/drawingml/2006/spreadsheetDrawing" xmlns:a="http://schemas.openxmlformats.org/drawingml/2006/main" xmlns:r="http://schemas.openxmlformats.org/officeDocument/2006/relationships"/>
</file>

<file path=xl/drawings/drawing7.xml><?xml version="1.0" encoding="utf-8"?>
<xdr:wsDr xmlns:xdr="http://schemas.openxmlformats.org/drawingml/2006/spreadsheetDrawing" xmlns:a="http://schemas.openxmlformats.org/drawingml/2006/main" xmlns:r="http://schemas.openxmlformats.org/officeDocument/2006/relationships"/>
</file>

<file path=xl/drawings/drawing8.xml><?xml version="1.0" encoding="utf-8"?>
<xdr:wsDr xmlns:xdr="http://schemas.openxmlformats.org/drawingml/2006/spreadsheetDrawing" xmlns:a="http://schemas.openxmlformats.org/drawingml/2006/main" xmlns:r="http://schemas.openxmlformats.org/officeDocument/2006/relationships"/>
</file>

<file path=xl/drawings/drawing9.xml><?xml version="1.0" encoding="utf-8"?>
<xdr:wsDr xmlns:xdr="http://schemas.openxmlformats.org/drawingml/2006/spreadsheetDrawing" xmlns:a="http://schemas.openxmlformats.org/drawingml/2006/main" xmlns:r="http://schemas.openxmlformats.org/officeDocument/2006/relationships"/>
</file>

<file path=xl/drawings/drawing10.xml><?xml version="1.0" encoding="utf-8"?>
<xdr:wsDr xmlns:xdr="http://schemas.openxmlformats.org/drawingml/2006/spreadsheetDrawing" xmlns:a="http://schemas.openxmlformats.org/drawingml/2006/main" xmlns:r="http://schemas.openxmlformats.org/officeDocument/2006/relationships"/>
</file>

<file path=xl/drawings/drawing1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_rels/sheet4.xml.rels><?xml version="1.0" encoding="UTF-8"?>
<Relationships xmlns="http://schemas.openxmlformats.org/package/2006/relationships"><Relationship Id="rId1" Type="http://schemas.openxmlformats.org/officeDocument/2006/relationships/drawing" Target="../drawings/drawing2.xml"/>
</Relationships>
</file>

<file path=xl/worksheets/_rels/sheet5.xml.rels><?xml version="1.0" encoding="UTF-8"?>
<Relationships xmlns="http://schemas.openxmlformats.org/package/2006/relationships"><Relationship Id="rId1" Type="http://schemas.openxmlformats.org/officeDocument/2006/relationships/drawing" Target="../drawings/drawing3.xml"/>
</Relationships>
</file>

<file path=xl/worksheets/_rels/sheet6.xml.rels><?xml version="1.0" encoding="UTF-8"?>
<Relationships xmlns="http://schemas.openxmlformats.org/package/2006/relationships"><Relationship Id="rId1" Type="http://schemas.openxmlformats.org/officeDocument/2006/relationships/drawing" Target="../drawings/drawing4.xml"/>
</Relationships>
</file>

<file path=xl/worksheets/_rels/sheet7.xml.rels><?xml version="1.0" encoding="UTF-8"?>
<Relationships xmlns="http://schemas.openxmlformats.org/package/2006/relationships"><Relationship Id="rId1" Type="http://schemas.openxmlformats.org/officeDocument/2006/relationships/drawing" Target="../drawings/drawing5.xml"/>
</Relationships>
</file>

<file path=xl/worksheets/_rels/sheet8.xml.rels><?xml version="1.0" encoding="UTF-8"?>
<Relationships xmlns="http://schemas.openxmlformats.org/package/2006/relationships"><Relationship Id="rId1" Type="http://schemas.openxmlformats.org/officeDocument/2006/relationships/drawing" Target="../drawings/drawing6.xml"/>
</Relationships>
</file>

<file path=xl/worksheets/_rels/sheet9.xml.rels><?xml version="1.0" encoding="UTF-8"?>
<Relationships xmlns="http://schemas.openxmlformats.org/package/2006/relationships"><Relationship Id="rId1" Type="http://schemas.openxmlformats.org/officeDocument/2006/relationships/drawing" Target="../drawings/drawing7.xml"/>
</Relationships>
</file>

<file path=xl/worksheets/_rels/sheet10.xml.rels><?xml version="1.0" encoding="UTF-8"?>
<Relationships xmlns="http://schemas.openxmlformats.org/package/2006/relationships"><Relationship Id="rId1" Type="http://schemas.openxmlformats.org/officeDocument/2006/relationships/drawing" Target="../drawings/drawing8.xml"/>
</Relationships>
</file>

<file path=xl/worksheets/_rels/sheet11.xml.rels><?xml version="1.0" encoding="UTF-8"?>
<Relationships xmlns="http://schemas.openxmlformats.org/package/2006/relationships"><Relationship Id="rId1" Type="http://schemas.openxmlformats.org/officeDocument/2006/relationships/drawing" Target="../drawings/drawing9.xml"/>
</Relationships>
</file>

<file path=xl/worksheets/_rels/sheet12.xml.rels><?xml version="1.0" encoding="UTF-8"?>
<Relationships xmlns="http://schemas.openxmlformats.org/package/2006/relationships"><Relationship Id="rId1" Type="http://schemas.openxmlformats.org/officeDocument/2006/relationships/drawing" Target="../drawings/drawing10.xml"/>
</Relationships>
</file>

<file path=xl/worksheets/_rels/sheet13.xml.rels><?xml version="1.0" encoding="UTF-8"?>
<Relationships xmlns="http://schemas.openxmlformats.org/package/2006/relationships"><Relationship Id="rId1" Type="http://schemas.openxmlformats.org/officeDocument/2006/relationships/drawing" Target="../drawings/drawing1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864"/>
    <pageSetUpPr fitToPage="false"/>
  </sheetPr>
  <dimension ref="B2:H51"/>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3"/>
    <col collapsed="false" customWidth="true" hidden="false" outlineLevel="0" max="2" min="2" style="0" width="30"/>
    <col collapsed="false" customWidth="true" hidden="false" outlineLevel="0" max="4" min="3" style="0" width="10"/>
    <col collapsed="false" customWidth="true" hidden="false" outlineLevel="0" max="6" min="5" style="0" width="12"/>
    <col collapsed="false" customWidth="true" hidden="false" outlineLevel="0" max="7" min="7" style="0" width="10"/>
    <col collapsed="false" customWidth="true" hidden="false" outlineLevel="0" max="8" min="8" style="0" width="62"/>
  </cols>
  <sheetData>
    <row r="2" customFormat="false" ht="22.05" hidden="false" customHeight="false" outlineLevel="0" collapsed="false">
      <c r="B2" s="1" t="s">
        <v>0</v>
      </c>
    </row>
    <row r="3" customFormat="false" ht="15" hidden="false" customHeight="false" outlineLevel="0" collapsed="false">
      <c r="B3" s="2" t="s">
        <v>1</v>
      </c>
    </row>
    <row r="5" customFormat="false" ht="15" hidden="false" customHeight="false" outlineLevel="0" collapsed="false">
      <c r="B5" s="3" t="s">
        <v>2</v>
      </c>
    </row>
    <row r="6" customFormat="false" ht="15" hidden="false" customHeight="false" outlineLevel="0" collapsed="false">
      <c r="B6" s="4" t="s">
        <v>3</v>
      </c>
      <c r="C6" s="4"/>
      <c r="D6" s="4"/>
      <c r="E6" s="4"/>
      <c r="F6" s="4"/>
      <c r="G6" s="4"/>
      <c r="H6" s="4"/>
    </row>
    <row r="7" customFormat="false" ht="15" hidden="false" customHeight="false" outlineLevel="0" collapsed="false">
      <c r="B7" s="4" t="s">
        <v>4</v>
      </c>
      <c r="C7" s="4"/>
      <c r="D7" s="4"/>
      <c r="E7" s="4"/>
      <c r="F7" s="4"/>
      <c r="G7" s="4"/>
      <c r="H7" s="4"/>
    </row>
    <row r="8" customFormat="false" ht="15" hidden="false" customHeight="false" outlineLevel="0" collapsed="false">
      <c r="B8" s="4" t="s">
        <v>5</v>
      </c>
      <c r="C8" s="4"/>
      <c r="D8" s="4"/>
      <c r="E8" s="4"/>
      <c r="F8" s="4"/>
      <c r="G8" s="4"/>
      <c r="H8" s="4"/>
    </row>
    <row r="9" customFormat="false" ht="15" hidden="false" customHeight="false" outlineLevel="0" collapsed="false">
      <c r="B9" s="5" t="s">
        <v>6</v>
      </c>
      <c r="C9" s="5"/>
      <c r="D9" s="5"/>
      <c r="E9" s="5"/>
      <c r="F9" s="5"/>
      <c r="G9" s="5"/>
      <c r="H9" s="5"/>
    </row>
    <row r="10" customFormat="false" ht="15" hidden="false" customHeight="false" outlineLevel="0" collapsed="false">
      <c r="B10" s="3" t="s">
        <v>7</v>
      </c>
    </row>
    <row r="11" customFormat="false" ht="15" hidden="false" customHeight="false" outlineLevel="0" collapsed="false">
      <c r="B11" s="6" t="s">
        <v>8</v>
      </c>
      <c r="C11" s="6"/>
      <c r="D11" s="6"/>
      <c r="E11" s="6"/>
      <c r="F11" s="6"/>
      <c r="G11" s="6"/>
      <c r="H11" s="6"/>
    </row>
    <row r="12" customFormat="false" ht="15" hidden="false" customHeight="false" outlineLevel="0" collapsed="false">
      <c r="B12" s="6" t="s">
        <v>9</v>
      </c>
      <c r="C12" s="6"/>
      <c r="D12" s="6"/>
      <c r="E12" s="6"/>
      <c r="F12" s="6"/>
      <c r="G12" s="6"/>
      <c r="H12" s="6"/>
    </row>
    <row r="13" customFormat="false" ht="15" hidden="false" customHeight="false" outlineLevel="0" collapsed="false">
      <c r="B13" s="6" t="s">
        <v>10</v>
      </c>
      <c r="C13" s="6"/>
      <c r="D13" s="6"/>
      <c r="E13" s="6"/>
      <c r="F13" s="6"/>
      <c r="G13" s="6"/>
      <c r="H13" s="6"/>
    </row>
    <row r="14" customFormat="false" ht="15" hidden="false" customHeight="false" outlineLevel="0" collapsed="false">
      <c r="B14" s="6" t="s">
        <v>11</v>
      </c>
      <c r="C14" s="6"/>
      <c r="D14" s="6"/>
      <c r="E14" s="6"/>
      <c r="F14" s="6"/>
      <c r="G14" s="6"/>
      <c r="H14" s="6"/>
    </row>
    <row r="15" customFormat="false" ht="15" hidden="false" customHeight="false" outlineLevel="0" collapsed="false">
      <c r="B15" s="4" t="s">
        <v>12</v>
      </c>
      <c r="C15" s="4"/>
      <c r="D15" s="4"/>
      <c r="E15" s="4"/>
      <c r="F15" s="4"/>
      <c r="G15" s="4"/>
      <c r="H15" s="4"/>
    </row>
    <row r="17" customFormat="false" ht="15" hidden="false" customHeight="false" outlineLevel="0" collapsed="false">
      <c r="B17" s="3" t="s">
        <v>13</v>
      </c>
    </row>
    <row r="18" customFormat="false" ht="15" hidden="false" customHeight="false" outlineLevel="0" collapsed="false">
      <c r="B18" s="7" t="s">
        <v>14</v>
      </c>
      <c r="C18" s="7" t="s">
        <v>15</v>
      </c>
      <c r="D18" s="7" t="s">
        <v>16</v>
      </c>
      <c r="E18" s="7" t="s">
        <v>17</v>
      </c>
      <c r="F18" s="7" t="s">
        <v>18</v>
      </c>
      <c r="G18" s="7" t="s">
        <v>19</v>
      </c>
      <c r="H18" s="7" t="s">
        <v>20</v>
      </c>
    </row>
    <row r="19" customFormat="false" ht="15" hidden="false" customHeight="false" outlineLevel="0" collapsed="false">
      <c r="B19" s="8" t="s">
        <v>21</v>
      </c>
      <c r="C19" s="9" t="n">
        <f aca="false">COUNTA('0. Security (Fix First)'!A5:A14)-COUNTIF('0. Security (Fix First)'!A5:A14,"* *")</f>
        <v>8</v>
      </c>
      <c r="D19" s="9" t="n">
        <f aca="false">COUNTIF('0. Security (Fix First)'!L5:L14,"Done")+COUNTIF('0. Security (Fix First)'!L5:L14,"Not needed")</f>
        <v>0</v>
      </c>
      <c r="E19" s="9" t="n">
        <f aca="false">COUNTIFS('0. Security (Fix First)'!G5:G14,"Must",'0. Security (Fix First)'!L5:L14,"&lt;&gt;Done",'0. Security (Fix First)'!L5:L14,"&lt;&gt;Not needed")</f>
        <v>4</v>
      </c>
      <c r="F19" s="9" t="n">
        <f aca="false">COUNTIFS('0. Security (Fix First)'!H5:H14,"High",'0. Security (Fix First)'!L5:L14,"&lt;&gt;Done",'0. Security (Fix First)'!L5:L14,"&lt;&gt;Not needed")+COUNTIFS('0. Security (Fix First)'!H5:H14,"Medium",'0. Security (Fix First)'!L5:L14,"&lt;&gt;Done",'0. Security (Fix First)'!L5:L14,"&lt;&gt;Not needed")</f>
        <v>3</v>
      </c>
      <c r="G19" s="10" t="n">
        <f aca="false">IF(C19&gt;0,D19/C19,0)</f>
        <v>0</v>
      </c>
      <c r="H19" s="11" t="s">
        <v>22</v>
      </c>
    </row>
    <row r="20" customFormat="false" ht="15" hidden="false" customHeight="false" outlineLevel="0" collapsed="false">
      <c r="B20" s="8" t="s">
        <v>23</v>
      </c>
      <c r="C20" s="9" t="n">
        <f aca="false">COUNTA('1. Foundations'!A5:A15)-COUNTIF('1. Foundations'!A5:A15,"* *")</f>
        <v>9</v>
      </c>
      <c r="D20" s="9" t="n">
        <f aca="false">COUNTIF('1. Foundations'!L5:L15,"Done")+COUNTIF('1. Foundations'!L5:L15,"Not needed")</f>
        <v>0</v>
      </c>
      <c r="E20" s="9" t="n">
        <f aca="false">COUNTIFS('1. Foundations'!G5:G15,"Must",'1. Foundations'!L5:L15,"&lt;&gt;Done",'1. Foundations'!L5:L15,"&lt;&gt;Not needed")</f>
        <v>6</v>
      </c>
      <c r="F20" s="9" t="n">
        <f aca="false">COUNTIFS('1. Foundations'!H5:H15,"High",'1. Foundations'!L5:L15,"&lt;&gt;Done",'1. Foundations'!L5:L15,"&lt;&gt;Not needed")+COUNTIFS('1. Foundations'!H5:H15,"Medium",'1. Foundations'!L5:L15,"&lt;&gt;Done",'1. Foundations'!L5:L15,"&lt;&gt;Not needed")</f>
        <v>0</v>
      </c>
      <c r="G20" s="10" t="n">
        <f aca="false">IF(C20&gt;0,D20/C20,0)</f>
        <v>0</v>
      </c>
      <c r="H20" s="11" t="s">
        <v>24</v>
      </c>
    </row>
    <row r="21" customFormat="false" ht="15" hidden="false" customHeight="false" outlineLevel="0" collapsed="false">
      <c r="B21" s="8" t="s">
        <v>25</v>
      </c>
      <c r="C21" s="9" t="n">
        <f aca="false">COUNTA('2. Technical SEO'!A5:A21)-COUNTIF('2. Technical SEO'!A5:A21,"* *")</f>
        <v>15</v>
      </c>
      <c r="D21" s="9" t="n">
        <f aca="false">COUNTIF('2. Technical SEO'!L5:L21,"Done")+COUNTIF('2. Technical SEO'!L5:L21,"Not needed")</f>
        <v>0</v>
      </c>
      <c r="E21" s="9" t="n">
        <f aca="false">COUNTIFS('2. Technical SEO'!G5:G21,"Must",'2. Technical SEO'!L5:L21,"&lt;&gt;Done",'2. Technical SEO'!L5:L21,"&lt;&gt;Not needed")</f>
        <v>8</v>
      </c>
      <c r="F21" s="9" t="n">
        <f aca="false">COUNTIFS('2. Technical SEO'!H5:H21,"High",'2. Technical SEO'!L5:L21,"&lt;&gt;Done",'2. Technical SEO'!L5:L21,"&lt;&gt;Not needed")+COUNTIFS('2. Technical SEO'!H5:H21,"Medium",'2. Technical SEO'!L5:L21,"&lt;&gt;Done",'2. Technical SEO'!L5:L21,"&lt;&gt;Not needed")</f>
        <v>6</v>
      </c>
      <c r="G21" s="10" t="n">
        <f aca="false">IF(C21&gt;0,D21/C21,0)</f>
        <v>0</v>
      </c>
      <c r="H21" s="11" t="s">
        <v>26</v>
      </c>
    </row>
    <row r="22" customFormat="false" ht="15" hidden="false" customHeight="false" outlineLevel="0" collapsed="false">
      <c r="B22" s="8" t="s">
        <v>27</v>
      </c>
      <c r="C22" s="9" t="n">
        <f aca="false">COUNTA('3. Pages &amp; Content'!A5:A16)-COUNTIF('3. Pages &amp; Content'!A5:A16,"* *")</f>
        <v>10</v>
      </c>
      <c r="D22" s="9" t="n">
        <f aca="false">COUNTIF('3. Pages &amp; Content'!L5:L16,"Done")+COUNTIF('3. Pages &amp; Content'!L5:L16,"Not needed")</f>
        <v>0</v>
      </c>
      <c r="E22" s="9" t="n">
        <f aca="false">COUNTIFS('3. Pages &amp; Content'!G5:G16,"Must",'3. Pages &amp; Content'!L5:L16,"&lt;&gt;Done",'3. Pages &amp; Content'!L5:L16,"&lt;&gt;Not needed")</f>
        <v>5</v>
      </c>
      <c r="F22" s="9" t="n">
        <f aca="false">COUNTIFS('3. Pages &amp; Content'!H5:H16,"High",'3. Pages &amp; Content'!L5:L16,"&lt;&gt;Done",'3. Pages &amp; Content'!L5:L16,"&lt;&gt;Not needed")+COUNTIFS('3. Pages &amp; Content'!H5:H16,"Medium",'3. Pages &amp; Content'!L5:L16,"&lt;&gt;Done",'3. Pages &amp; Content'!L5:L16,"&lt;&gt;Not needed")</f>
        <v>1</v>
      </c>
      <c r="G22" s="10" t="n">
        <f aca="false">IF(C22&gt;0,D22/C22,0)</f>
        <v>0</v>
      </c>
      <c r="H22" s="11" t="s">
        <v>28</v>
      </c>
    </row>
    <row r="23" customFormat="false" ht="15" hidden="false" customHeight="false" outlineLevel="0" collapsed="false">
      <c r="B23" s="8" t="s">
        <v>29</v>
      </c>
      <c r="C23" s="9" t="n">
        <f aca="false">COUNTA('4. Video &amp; Creator Pages'!A5:A17)-COUNTIF('4. Video &amp; Creator Pages'!A5:A17,"* *")</f>
        <v>11</v>
      </c>
      <c r="D23" s="9" t="n">
        <f aca="false">COUNTIF('4. Video &amp; Creator Pages'!L5:L17,"Done")+COUNTIF('4. Video &amp; Creator Pages'!L5:L17,"Not needed")</f>
        <v>0</v>
      </c>
      <c r="E23" s="9" t="n">
        <f aca="false">COUNTIFS('4. Video &amp; Creator Pages'!G5:G17,"Must",'4. Video &amp; Creator Pages'!L5:L17,"&lt;&gt;Done",'4. Video &amp; Creator Pages'!L5:L17,"&lt;&gt;Not needed")</f>
        <v>6</v>
      </c>
      <c r="F23" s="9" t="n">
        <f aca="false">COUNTIFS('4. Video &amp; Creator Pages'!H5:H17,"High",'4. Video &amp; Creator Pages'!L5:L17,"&lt;&gt;Done",'4. Video &amp; Creator Pages'!L5:L17,"&lt;&gt;Not needed")+COUNTIFS('4. Video &amp; Creator Pages'!H5:H17,"Medium",'4. Video &amp; Creator Pages'!L5:L17,"&lt;&gt;Done",'4. Video &amp; Creator Pages'!L5:L17,"&lt;&gt;Not needed")</f>
        <v>3</v>
      </c>
      <c r="G23" s="10" t="n">
        <f aca="false">IF(C23&gt;0,D23/C23,0)</f>
        <v>0</v>
      </c>
      <c r="H23" s="11" t="s">
        <v>30</v>
      </c>
    </row>
    <row r="24" customFormat="false" ht="15" hidden="false" customHeight="false" outlineLevel="0" collapsed="false">
      <c r="B24" s="8" t="s">
        <v>31</v>
      </c>
      <c r="C24" s="9" t="n">
        <f aca="false">COUNTA('5. AEO (AI Search)'!A5:A17)-COUNTIF('5. AEO (AI Search)'!A5:A17,"* *")</f>
        <v>11</v>
      </c>
      <c r="D24" s="9" t="n">
        <f aca="false">COUNTIF('5. AEO (AI Search)'!L5:L17,"Done")+COUNTIF('5. AEO (AI Search)'!L5:L17,"Not needed")</f>
        <v>0</v>
      </c>
      <c r="E24" s="9" t="n">
        <f aca="false">COUNTIFS('5. AEO (AI Search)'!G5:G17,"Must",'5. AEO (AI Search)'!L5:L17,"&lt;&gt;Done",'5. AEO (AI Search)'!L5:L17,"&lt;&gt;Not needed")</f>
        <v>7</v>
      </c>
      <c r="F24" s="9" t="n">
        <f aca="false">COUNTIFS('5. AEO (AI Search)'!H5:H17,"High",'5. AEO (AI Search)'!L5:L17,"&lt;&gt;Done",'5. AEO (AI Search)'!L5:L17,"&lt;&gt;Not needed")+COUNTIFS('5. AEO (AI Search)'!H5:H17,"Medium",'5. AEO (AI Search)'!L5:L17,"&lt;&gt;Done",'5. AEO (AI Search)'!L5:L17,"&lt;&gt;Not needed")</f>
        <v>1</v>
      </c>
      <c r="G24" s="10" t="n">
        <f aca="false">IF(C24&gt;0,D24/C24,0)</f>
        <v>0</v>
      </c>
      <c r="H24" s="11" t="s">
        <v>32</v>
      </c>
    </row>
    <row r="25" customFormat="false" ht="15" hidden="false" customHeight="false" outlineLevel="0" collapsed="false">
      <c r="B25" s="8" t="s">
        <v>33</v>
      </c>
      <c r="C25" s="9" t="n">
        <f aca="false">COUNTA('6. ASO - Google Play'!A5:A26)-COUNTIF('6. ASO - Google Play'!A5:A26,"* *")</f>
        <v>18</v>
      </c>
      <c r="D25" s="9" t="n">
        <f aca="false">COUNTIF('6. ASO - Google Play'!L5:L26,"Done")+COUNTIF('6. ASO - Google Play'!L5:L26,"Not needed")</f>
        <v>0</v>
      </c>
      <c r="E25" s="9" t="n">
        <f aca="false">COUNTIFS('6. ASO - Google Play'!G5:G26,"Must",'6. ASO - Google Play'!L5:L26,"&lt;&gt;Done",'6. ASO - Google Play'!L5:L26,"&lt;&gt;Not needed")</f>
        <v>9</v>
      </c>
      <c r="F25" s="9" t="n">
        <f aca="false">COUNTIFS('6. ASO - Google Play'!H5:H26,"High",'6. ASO - Google Play'!L5:L26,"&lt;&gt;Done",'6. ASO - Google Play'!L5:L26,"&lt;&gt;Not needed")+COUNTIFS('6. ASO - Google Play'!H5:H26,"Medium",'6. ASO - Google Play'!L5:L26,"&lt;&gt;Done",'6. ASO - Google Play'!L5:L26,"&lt;&gt;Not needed")</f>
        <v>0</v>
      </c>
      <c r="G25" s="10" t="n">
        <f aca="false">IF(C25&gt;0,D25/C25,0)</f>
        <v>0</v>
      </c>
      <c r="H25" s="11" t="s">
        <v>34</v>
      </c>
    </row>
    <row r="26" customFormat="false" ht="15" hidden="false" customHeight="false" outlineLevel="0" collapsed="false">
      <c r="B26" s="8" t="s">
        <v>35</v>
      </c>
      <c r="C26" s="9" t="n">
        <f aca="false">COUNTA('7. ASO - App Store'!A5:A12)-COUNTIF('7. ASO - App Store'!A5:A12,"* *")</f>
        <v>7</v>
      </c>
      <c r="D26" s="9" t="n">
        <f aca="false">COUNTIF('7. ASO - App Store'!L5:L12,"Done")+COUNTIF('7. ASO - App Store'!L5:L12,"Not needed")</f>
        <v>0</v>
      </c>
      <c r="E26" s="9" t="n">
        <f aca="false">COUNTIFS('7. ASO - App Store'!G5:G12,"Must",'7. ASO - App Store'!L5:L12,"&lt;&gt;Done",'7. ASO - App Store'!L5:L12,"&lt;&gt;Not needed")</f>
        <v>4</v>
      </c>
      <c r="F26" s="9" t="n">
        <f aca="false">COUNTIFS('7. ASO - App Store'!H5:H12,"High",'7. ASO - App Store'!L5:L12,"&lt;&gt;Done",'7. ASO - App Store'!L5:L12,"&lt;&gt;Not needed")+COUNTIFS('7. ASO - App Store'!H5:H12,"Medium",'7. ASO - App Store'!L5:L12,"&lt;&gt;Done",'7. ASO - App Store'!L5:L12,"&lt;&gt;Not needed")</f>
        <v>0</v>
      </c>
      <c r="G26" s="10" t="n">
        <f aca="false">IF(C26&gt;0,D26/C26,0)</f>
        <v>0</v>
      </c>
      <c r="H26" s="11" t="s">
        <v>36</v>
      </c>
    </row>
    <row r="27" customFormat="false" ht="15" hidden="false" customHeight="false" outlineLevel="0" collapsed="false">
      <c r="B27" s="8" t="s">
        <v>37</v>
      </c>
      <c r="C27" s="9" t="n">
        <f aca="false">COUNTA('8. Inside the App'!A5:A18)-COUNTIF('8. Inside the App'!A5:A18,"* *")</f>
        <v>11</v>
      </c>
      <c r="D27" s="9" t="n">
        <f aca="false">COUNTIF('8. Inside the App'!L5:L18,"Done")+COUNTIF('8. Inside the App'!L5:L18,"Not needed")</f>
        <v>0</v>
      </c>
      <c r="E27" s="9" t="n">
        <f aca="false">COUNTIFS('8. Inside the App'!G5:G18,"Must",'8. Inside the App'!L5:L18,"&lt;&gt;Done",'8. Inside the App'!L5:L18,"&lt;&gt;Not needed")</f>
        <v>5</v>
      </c>
      <c r="F27" s="9" t="n">
        <f aca="false">COUNTIFS('8. Inside the App'!H5:H18,"High",'8. Inside the App'!L5:L18,"&lt;&gt;Done",'8. Inside the App'!L5:L18,"&lt;&gt;Not needed")+COUNTIFS('8. Inside the App'!H5:H18,"Medium",'8. Inside the App'!L5:L18,"&lt;&gt;Done",'8. Inside the App'!L5:L18,"&lt;&gt;Not needed")</f>
        <v>0</v>
      </c>
      <c r="G27" s="10" t="n">
        <f aca="false">IF(C27&gt;0,D27/C27,0)</f>
        <v>0</v>
      </c>
      <c r="H27" s="11" t="s">
        <v>38</v>
      </c>
    </row>
    <row r="28" customFormat="false" ht="15" hidden="false" customHeight="false" outlineLevel="0" collapsed="false">
      <c r="B28" s="8" t="s">
        <v>39</v>
      </c>
      <c r="C28" s="9" t="n">
        <f aca="false">COUNTA('9. Authority'!A5:A12)-COUNTIF('9. Authority'!A5:A12,"* *")</f>
        <v>7</v>
      </c>
      <c r="D28" s="9" t="n">
        <f aca="false">COUNTIF('9. Authority'!L5:L12,"Done")+COUNTIF('9. Authority'!L5:L12,"Not needed")</f>
        <v>0</v>
      </c>
      <c r="E28" s="9" t="n">
        <f aca="false">COUNTIFS('9. Authority'!G5:G12,"Must",'9. Authority'!L5:L12,"&lt;&gt;Done",'9. Authority'!L5:L12,"&lt;&gt;Not needed")</f>
        <v>2</v>
      </c>
      <c r="F28" s="9" t="n">
        <f aca="false">COUNTIFS('9. Authority'!H5:H12,"High",'9. Authority'!L5:L12,"&lt;&gt;Done",'9. Authority'!L5:L12,"&lt;&gt;Not needed")+COUNTIFS('9. Authority'!H5:H12,"Medium",'9. Authority'!L5:L12,"&lt;&gt;Done",'9. Authority'!L5:L12,"&lt;&gt;Not needed")</f>
        <v>0</v>
      </c>
      <c r="G28" s="10" t="n">
        <f aca="false">IF(C28&gt;0,D28/C28,0)</f>
        <v>0</v>
      </c>
      <c r="H28" s="11" t="s">
        <v>40</v>
      </c>
    </row>
    <row r="29" customFormat="false" ht="15" hidden="false" customHeight="false" outlineLevel="0" collapsed="false">
      <c r="B29" s="8" t="s">
        <v>41</v>
      </c>
      <c r="C29" s="9" t="n">
        <f aca="false">COUNTA('10. Safe Release Rules'!A5:A15)-COUNTIF('10. Safe Release Rules'!A5:A15,"* *")</f>
        <v>10</v>
      </c>
      <c r="D29" s="9" t="n">
        <f aca="false">COUNTIF('10. Safe Release Rules'!L5:L15,"Done")+COUNTIF('10. Safe Release Rules'!L5:L15,"Not needed")</f>
        <v>0</v>
      </c>
      <c r="E29" s="9" t="n">
        <f aca="false">COUNTIFS('10. Safe Release Rules'!G5:G15,"Must",'10. Safe Release Rules'!L5:L15,"&lt;&gt;Done",'10. Safe Release Rules'!L5:L15,"&lt;&gt;Not needed")</f>
        <v>10</v>
      </c>
      <c r="F29" s="9" t="n">
        <f aca="false">COUNTIFS('10. Safe Release Rules'!H5:H15,"High",'10. Safe Release Rules'!L5:L15,"&lt;&gt;Done",'10. Safe Release Rules'!L5:L15,"&lt;&gt;Not needed")+COUNTIFS('10. Safe Release Rules'!H5:H15,"Medium",'10. Safe Release Rules'!L5:L15,"&lt;&gt;Done",'10. Safe Release Rules'!L5:L15,"&lt;&gt;Not needed")</f>
        <v>0</v>
      </c>
      <c r="G29" s="10" t="n">
        <f aca="false">IF(C29&gt;0,D29/C29,0)</f>
        <v>0</v>
      </c>
      <c r="H29" s="11" t="s">
        <v>42</v>
      </c>
    </row>
    <row r="30" customFormat="false" ht="15" hidden="false" customHeight="false" outlineLevel="0" collapsed="false">
      <c r="B30" s="12" t="s">
        <v>43</v>
      </c>
      <c r="C30" s="13" t="n">
        <f aca="false">SUM(C19:C29)</f>
        <v>117</v>
      </c>
      <c r="D30" s="13" t="n">
        <f aca="false">SUM(D19:D29)</f>
        <v>0</v>
      </c>
      <c r="E30" s="13" t="n">
        <f aca="false">SUM(E19:E29)</f>
        <v>66</v>
      </c>
      <c r="F30" s="13" t="n">
        <f aca="false">SUM(F19:F29)</f>
        <v>14</v>
      </c>
      <c r="G30" s="14" t="n">
        <f aca="false">IF(C30&gt;0,D30/C30,0)</f>
        <v>0</v>
      </c>
    </row>
    <row r="31" customFormat="false" ht="15" hidden="false" customHeight="false" outlineLevel="0" collapsed="false">
      <c r="F31" s="15" t="s">
        <v>44</v>
      </c>
    </row>
    <row r="33" customFormat="false" ht="15" hidden="false" customHeight="false" outlineLevel="0" collapsed="false">
      <c r="B33" s="3" t="s">
        <v>45</v>
      </c>
    </row>
    <row r="34" customFormat="false" ht="15" hidden="false" customHeight="false" outlineLevel="0" collapsed="false">
      <c r="B34" s="12" t="s">
        <v>46</v>
      </c>
      <c r="C34" s="4" t="s">
        <v>47</v>
      </c>
      <c r="D34" s="4"/>
      <c r="E34" s="4"/>
      <c r="F34" s="4"/>
      <c r="G34" s="4"/>
      <c r="H34" s="4"/>
    </row>
    <row r="35" customFormat="false" ht="15" hidden="false" customHeight="false" outlineLevel="0" collapsed="false">
      <c r="B35" s="12" t="s">
        <v>48</v>
      </c>
      <c r="C35" s="4" t="s">
        <v>49</v>
      </c>
      <c r="D35" s="4"/>
      <c r="E35" s="4"/>
      <c r="F35" s="4"/>
      <c r="G35" s="4"/>
      <c r="H35" s="4"/>
    </row>
    <row r="36" customFormat="false" ht="15" hidden="false" customHeight="false" outlineLevel="0" collapsed="false">
      <c r="B36" s="12" t="s">
        <v>50</v>
      </c>
      <c r="C36" s="4" t="s">
        <v>51</v>
      </c>
      <c r="D36" s="4"/>
      <c r="E36" s="4"/>
      <c r="F36" s="4"/>
      <c r="G36" s="4"/>
      <c r="H36" s="4"/>
    </row>
    <row r="37" customFormat="false" ht="15" hidden="false" customHeight="false" outlineLevel="0" collapsed="false">
      <c r="B37" s="12" t="s">
        <v>52</v>
      </c>
      <c r="C37" s="4" t="s">
        <v>53</v>
      </c>
      <c r="D37" s="4"/>
      <c r="E37" s="4"/>
      <c r="F37" s="4"/>
      <c r="G37" s="4"/>
      <c r="H37" s="4"/>
    </row>
    <row r="38" customFormat="false" ht="15" hidden="false" customHeight="false" outlineLevel="0" collapsed="false">
      <c r="B38" s="12" t="s">
        <v>54</v>
      </c>
      <c r="C38" s="4" t="s">
        <v>55</v>
      </c>
      <c r="D38" s="4"/>
      <c r="E38" s="4"/>
      <c r="F38" s="4"/>
      <c r="G38" s="4"/>
      <c r="H38" s="4"/>
    </row>
    <row r="39" customFormat="false" ht="15" hidden="false" customHeight="false" outlineLevel="0" collapsed="false">
      <c r="B39" s="12" t="s">
        <v>56</v>
      </c>
      <c r="C39" s="4" t="s">
        <v>57</v>
      </c>
      <c r="D39" s="4"/>
      <c r="E39" s="4"/>
      <c r="F39" s="4"/>
      <c r="G39" s="4"/>
      <c r="H39" s="4"/>
    </row>
    <row r="41" customFormat="false" ht="15" hidden="false" customHeight="false" outlineLevel="0" collapsed="false">
      <c r="B41" s="3" t="s">
        <v>58</v>
      </c>
    </row>
    <row r="42" customFormat="false" ht="15" hidden="false" customHeight="false" outlineLevel="0" collapsed="false">
      <c r="B42" s="4" t="s">
        <v>59</v>
      </c>
      <c r="C42" s="4"/>
      <c r="D42" s="4"/>
      <c r="E42" s="4"/>
      <c r="F42" s="4"/>
      <c r="G42" s="4"/>
      <c r="H42" s="4"/>
    </row>
    <row r="43" customFormat="false" ht="15" hidden="false" customHeight="false" outlineLevel="0" collapsed="false">
      <c r="B43" s="4" t="s">
        <v>60</v>
      </c>
      <c r="C43" s="4"/>
      <c r="D43" s="4"/>
      <c r="E43" s="4"/>
      <c r="F43" s="4"/>
      <c r="G43" s="4"/>
      <c r="H43" s="4"/>
    </row>
    <row r="44" customFormat="false" ht="15" hidden="false" customHeight="false" outlineLevel="0" collapsed="false">
      <c r="B44" s="4" t="s">
        <v>61</v>
      </c>
      <c r="C44" s="4"/>
      <c r="D44" s="4"/>
      <c r="E44" s="4"/>
      <c r="F44" s="4"/>
      <c r="G44" s="4"/>
      <c r="H44" s="4"/>
    </row>
    <row r="45" customFormat="false" ht="15" hidden="false" customHeight="false" outlineLevel="0" collapsed="false">
      <c r="B45" s="4" t="s">
        <v>62</v>
      </c>
      <c r="C45" s="4"/>
      <c r="D45" s="4"/>
      <c r="E45" s="4"/>
      <c r="F45" s="4"/>
      <c r="G45" s="4"/>
      <c r="H45" s="4"/>
    </row>
    <row r="46" customFormat="false" ht="15" hidden="false" customHeight="false" outlineLevel="0" collapsed="false">
      <c r="B46" s="4" t="s">
        <v>63</v>
      </c>
      <c r="C46" s="4"/>
      <c r="D46" s="4"/>
      <c r="E46" s="4"/>
      <c r="F46" s="4"/>
      <c r="G46" s="4"/>
      <c r="H46" s="4"/>
    </row>
    <row r="48" customFormat="false" ht="15" hidden="false" customHeight="false" outlineLevel="0" collapsed="false">
      <c r="B48" s="3" t="s">
        <v>64</v>
      </c>
    </row>
    <row r="49" customFormat="false" ht="27.75" hidden="false" customHeight="true" outlineLevel="0" collapsed="false">
      <c r="B49" s="16" t="s">
        <v>65</v>
      </c>
      <c r="C49" s="16"/>
      <c r="D49" s="16"/>
      <c r="E49" s="16"/>
      <c r="F49" s="16"/>
      <c r="G49" s="16"/>
      <c r="H49" s="16"/>
    </row>
    <row r="50" customFormat="false" ht="27.75" hidden="false" customHeight="true" outlineLevel="0" collapsed="false">
      <c r="B50" s="16" t="s">
        <v>66</v>
      </c>
      <c r="C50" s="16"/>
      <c r="D50" s="16"/>
      <c r="E50" s="16"/>
      <c r="F50" s="16"/>
      <c r="G50" s="16"/>
      <c r="H50" s="16"/>
    </row>
    <row r="51" customFormat="false" ht="27.75" hidden="false" customHeight="true" outlineLevel="0" collapsed="false">
      <c r="B51" s="16" t="s">
        <v>67</v>
      </c>
      <c r="C51" s="16"/>
      <c r="D51" s="16"/>
      <c r="E51" s="16"/>
      <c r="F51" s="16"/>
      <c r="G51" s="16"/>
      <c r="H51" s="16"/>
    </row>
  </sheetData>
  <mergeCells count="23">
    <mergeCell ref="B6:H6"/>
    <mergeCell ref="B7:H7"/>
    <mergeCell ref="B8:H8"/>
    <mergeCell ref="B9:H9"/>
    <mergeCell ref="B11:H11"/>
    <mergeCell ref="B12:H12"/>
    <mergeCell ref="B13:H13"/>
    <mergeCell ref="B14:H14"/>
    <mergeCell ref="B15:H15"/>
    <mergeCell ref="C34:H34"/>
    <mergeCell ref="C35:H35"/>
    <mergeCell ref="C36:H36"/>
    <mergeCell ref="C37:H37"/>
    <mergeCell ref="C38:H38"/>
    <mergeCell ref="C39:H39"/>
    <mergeCell ref="B42:H42"/>
    <mergeCell ref="B43:H43"/>
    <mergeCell ref="B44:H44"/>
    <mergeCell ref="B45:H45"/>
    <mergeCell ref="B46:H46"/>
    <mergeCell ref="B49:H49"/>
    <mergeCell ref="B50:H50"/>
    <mergeCell ref="B51:H5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0000"/>
    <pageSetUpPr fitToPage="false"/>
  </sheetPr>
  <dimension ref="A1:F3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5"/>
    <col collapsed="false" customWidth="true" hidden="false" outlineLevel="0" max="2" min="2" style="0" width="28"/>
    <col collapsed="false" customWidth="true" hidden="false" outlineLevel="0" max="3" min="3" style="0" width="14"/>
    <col collapsed="false" customWidth="true" hidden="false" outlineLevel="0" max="4" min="4" style="0" width="60"/>
    <col collapsed="false" customWidth="true" hidden="false" outlineLevel="0" max="5" min="5" style="0" width="50"/>
    <col collapsed="false" customWidth="true" hidden="false" outlineLevel="0" max="6" min="6" style="0" width="12"/>
  </cols>
  <sheetData>
    <row r="1" customFormat="false" ht="17.35" hidden="false" customHeight="false" outlineLevel="0" collapsed="false">
      <c r="A1" s="17" t="s">
        <v>68</v>
      </c>
    </row>
    <row r="2" customFormat="false" ht="15" hidden="false" customHeight="false" outlineLevel="0" collapsed="false">
      <c r="A2" s="18" t="s">
        <v>69</v>
      </c>
    </row>
    <row r="4" customFormat="false" ht="15" hidden="false" customHeight="false" outlineLevel="0" collapsed="false">
      <c r="A4" s="7" t="s">
        <v>70</v>
      </c>
      <c r="B4" s="7" t="s">
        <v>71</v>
      </c>
      <c r="C4" s="7" t="s">
        <v>72</v>
      </c>
      <c r="D4" s="7" t="s">
        <v>73</v>
      </c>
      <c r="E4" s="7" t="s">
        <v>74</v>
      </c>
      <c r="F4" s="7" t="s">
        <v>75</v>
      </c>
    </row>
    <row r="5" customFormat="false" ht="23.85" hidden="false" customHeight="false" outlineLevel="0" collapsed="false">
      <c r="A5" s="9" t="n">
        <v>1</v>
      </c>
      <c r="B5" s="19" t="s">
        <v>76</v>
      </c>
      <c r="C5" s="9" t="s">
        <v>77</v>
      </c>
      <c r="D5" s="20" t="s">
        <v>78</v>
      </c>
      <c r="E5" s="20" t="s">
        <v>79</v>
      </c>
      <c r="F5" s="20" t="s">
        <v>80</v>
      </c>
    </row>
    <row r="6" customFormat="false" ht="15" hidden="false" customHeight="false" outlineLevel="0" collapsed="false">
      <c r="A6" s="9" t="n">
        <v>2</v>
      </c>
      <c r="B6" s="19" t="s">
        <v>81</v>
      </c>
      <c r="C6" s="9" t="s">
        <v>77</v>
      </c>
      <c r="D6" s="20" t="s">
        <v>82</v>
      </c>
      <c r="E6" s="20" t="s">
        <v>83</v>
      </c>
      <c r="F6" s="20" t="s">
        <v>84</v>
      </c>
    </row>
    <row r="7" customFormat="false" ht="15" hidden="false" customHeight="false" outlineLevel="0" collapsed="false">
      <c r="A7" s="9" t="n">
        <v>3</v>
      </c>
      <c r="B7" s="19" t="s">
        <v>85</v>
      </c>
      <c r="C7" s="9" t="s">
        <v>77</v>
      </c>
      <c r="D7" s="20" t="s">
        <v>86</v>
      </c>
      <c r="E7" s="20" t="s">
        <v>87</v>
      </c>
      <c r="F7" s="20" t="s">
        <v>88</v>
      </c>
    </row>
    <row r="8" customFormat="false" ht="23.85" hidden="false" customHeight="false" outlineLevel="0" collapsed="false">
      <c r="A8" s="9" t="n">
        <v>4</v>
      </c>
      <c r="B8" s="19" t="s">
        <v>89</v>
      </c>
      <c r="C8" s="9" t="s">
        <v>90</v>
      </c>
      <c r="D8" s="20" t="s">
        <v>91</v>
      </c>
      <c r="E8" s="20" t="s">
        <v>92</v>
      </c>
      <c r="F8" s="20" t="s">
        <v>93</v>
      </c>
    </row>
    <row r="9" customFormat="false" ht="23.85" hidden="false" customHeight="false" outlineLevel="0" collapsed="false">
      <c r="A9" s="9" t="n">
        <v>5</v>
      </c>
      <c r="B9" s="19" t="s">
        <v>94</v>
      </c>
      <c r="C9" s="9" t="s">
        <v>77</v>
      </c>
      <c r="D9" s="20" t="s">
        <v>95</v>
      </c>
      <c r="E9" s="20" t="s">
        <v>96</v>
      </c>
      <c r="F9" s="20" t="s">
        <v>97</v>
      </c>
    </row>
    <row r="10" customFormat="false" ht="23.85" hidden="false" customHeight="false" outlineLevel="0" collapsed="false">
      <c r="A10" s="9" t="n">
        <v>6</v>
      </c>
      <c r="B10" s="19" t="s">
        <v>98</v>
      </c>
      <c r="C10" s="9" t="s">
        <v>77</v>
      </c>
      <c r="D10" s="20" t="s">
        <v>99</v>
      </c>
      <c r="E10" s="20" t="s">
        <v>100</v>
      </c>
      <c r="F10" s="20" t="s">
        <v>101</v>
      </c>
    </row>
    <row r="11" customFormat="false" ht="15" hidden="false" customHeight="false" outlineLevel="0" collapsed="false">
      <c r="A11" s="9" t="n">
        <v>7</v>
      </c>
      <c r="B11" s="19" t="s">
        <v>102</v>
      </c>
      <c r="C11" s="9" t="s">
        <v>77</v>
      </c>
      <c r="D11" s="20" t="s">
        <v>103</v>
      </c>
      <c r="E11" s="20" t="s">
        <v>104</v>
      </c>
      <c r="F11" s="20" t="s">
        <v>105</v>
      </c>
    </row>
    <row r="12" customFormat="false" ht="15" hidden="false" customHeight="false" outlineLevel="0" collapsed="false">
      <c r="A12" s="9" t="n">
        <v>8</v>
      </c>
      <c r="B12" s="19" t="s">
        <v>106</v>
      </c>
      <c r="C12" s="9" t="s">
        <v>77</v>
      </c>
      <c r="D12" s="20" t="s">
        <v>107</v>
      </c>
      <c r="E12" s="20" t="s">
        <v>108</v>
      </c>
      <c r="F12" s="20" t="s">
        <v>109</v>
      </c>
    </row>
    <row r="13" customFormat="false" ht="23.85" hidden="false" customHeight="false" outlineLevel="0" collapsed="false">
      <c r="A13" s="9" t="n">
        <v>9</v>
      </c>
      <c r="B13" s="19" t="s">
        <v>110</v>
      </c>
      <c r="C13" s="9" t="s">
        <v>77</v>
      </c>
      <c r="D13" s="20" t="s">
        <v>111</v>
      </c>
      <c r="E13" s="20" t="s">
        <v>112</v>
      </c>
      <c r="F13" s="20" t="s">
        <v>113</v>
      </c>
    </row>
    <row r="14" customFormat="false" ht="15" hidden="false" customHeight="false" outlineLevel="0" collapsed="false">
      <c r="A14" s="9" t="n">
        <v>10</v>
      </c>
      <c r="B14" s="19" t="s">
        <v>114</v>
      </c>
      <c r="C14" s="9" t="s">
        <v>77</v>
      </c>
      <c r="D14" s="20" t="s">
        <v>115</v>
      </c>
      <c r="E14" s="20" t="s">
        <v>116</v>
      </c>
      <c r="F14" s="20" t="s">
        <v>117</v>
      </c>
    </row>
    <row r="15" customFormat="false" ht="23.85" hidden="false" customHeight="false" outlineLevel="0" collapsed="false">
      <c r="A15" s="9" t="n">
        <v>11</v>
      </c>
      <c r="B15" s="19" t="s">
        <v>118</v>
      </c>
      <c r="C15" s="9" t="s">
        <v>77</v>
      </c>
      <c r="D15" s="20" t="s">
        <v>119</v>
      </c>
      <c r="E15" s="20" t="s">
        <v>120</v>
      </c>
      <c r="F15" s="20" t="s">
        <v>121</v>
      </c>
    </row>
    <row r="16" customFormat="false" ht="15" hidden="false" customHeight="false" outlineLevel="0" collapsed="false">
      <c r="A16" s="9" t="n">
        <v>12</v>
      </c>
      <c r="B16" s="19" t="s">
        <v>122</v>
      </c>
      <c r="C16" s="9" t="s">
        <v>90</v>
      </c>
      <c r="D16" s="20" t="s">
        <v>123</v>
      </c>
      <c r="E16" s="20" t="s">
        <v>124</v>
      </c>
      <c r="F16" s="20" t="s">
        <v>125</v>
      </c>
    </row>
    <row r="17" customFormat="false" ht="15" hidden="false" customHeight="false" outlineLevel="0" collapsed="false">
      <c r="A17" s="9" t="n">
        <v>13</v>
      </c>
      <c r="B17" s="19" t="s">
        <v>126</v>
      </c>
      <c r="C17" s="9" t="s">
        <v>77</v>
      </c>
      <c r="D17" s="20" t="s">
        <v>127</v>
      </c>
      <c r="E17" s="20" t="s">
        <v>128</v>
      </c>
      <c r="F17" s="20" t="s">
        <v>129</v>
      </c>
    </row>
    <row r="18" customFormat="false" ht="15" hidden="false" customHeight="false" outlineLevel="0" collapsed="false">
      <c r="A18" s="9" t="n">
        <v>14</v>
      </c>
      <c r="B18" s="19" t="s">
        <v>130</v>
      </c>
      <c r="C18" s="9" t="s">
        <v>77</v>
      </c>
      <c r="D18" s="20" t="s">
        <v>131</v>
      </c>
      <c r="E18" s="20" t="s">
        <v>132</v>
      </c>
      <c r="F18" s="20" t="s">
        <v>133</v>
      </c>
    </row>
    <row r="19" customFormat="false" ht="23.85" hidden="false" customHeight="false" outlineLevel="0" collapsed="false">
      <c r="A19" s="9" t="n">
        <v>15</v>
      </c>
      <c r="B19" s="19" t="s">
        <v>134</v>
      </c>
      <c r="C19" s="9" t="s">
        <v>77</v>
      </c>
      <c r="D19" s="20" t="s">
        <v>135</v>
      </c>
      <c r="E19" s="20" t="s">
        <v>136</v>
      </c>
      <c r="F19" s="20" t="s">
        <v>137</v>
      </c>
    </row>
    <row r="20" customFormat="false" ht="23.85" hidden="false" customHeight="false" outlineLevel="0" collapsed="false">
      <c r="A20" s="9" t="n">
        <v>16</v>
      </c>
      <c r="B20" s="19" t="s">
        <v>138</v>
      </c>
      <c r="C20" s="9" t="s">
        <v>77</v>
      </c>
      <c r="D20" s="20" t="s">
        <v>139</v>
      </c>
      <c r="E20" s="20" t="s">
        <v>140</v>
      </c>
      <c r="F20" s="20" t="s">
        <v>141</v>
      </c>
    </row>
    <row r="21" customFormat="false" ht="15" hidden="false" customHeight="false" outlineLevel="0" collapsed="false">
      <c r="A21" s="9" t="n">
        <v>17</v>
      </c>
      <c r="B21" s="19" t="s">
        <v>142</v>
      </c>
      <c r="C21" s="9" t="s">
        <v>143</v>
      </c>
      <c r="D21" s="20" t="s">
        <v>144</v>
      </c>
      <c r="E21" s="20" t="s">
        <v>145</v>
      </c>
      <c r="F21" s="20" t="s">
        <v>146</v>
      </c>
    </row>
    <row r="22" customFormat="false" ht="15" hidden="false" customHeight="false" outlineLevel="0" collapsed="false">
      <c r="A22" s="9" t="n">
        <v>18</v>
      </c>
      <c r="B22" s="19" t="s">
        <v>147</v>
      </c>
      <c r="C22" s="9" t="s">
        <v>143</v>
      </c>
      <c r="D22" s="20" t="s">
        <v>148</v>
      </c>
      <c r="E22" s="20" t="s">
        <v>149</v>
      </c>
      <c r="F22" s="20" t="s">
        <v>150</v>
      </c>
    </row>
    <row r="23" customFormat="false" ht="15" hidden="false" customHeight="false" outlineLevel="0" collapsed="false">
      <c r="A23" s="9" t="n">
        <v>19</v>
      </c>
      <c r="B23" s="19" t="s">
        <v>151</v>
      </c>
      <c r="C23" s="9" t="s">
        <v>77</v>
      </c>
      <c r="D23" s="20" t="s">
        <v>152</v>
      </c>
      <c r="E23" s="20" t="s">
        <v>153</v>
      </c>
      <c r="F23" s="20" t="s">
        <v>154</v>
      </c>
    </row>
    <row r="24" customFormat="false" ht="23.85" hidden="false" customHeight="false" outlineLevel="0" collapsed="false">
      <c r="A24" s="9" t="n">
        <v>20</v>
      </c>
      <c r="B24" s="19" t="s">
        <v>155</v>
      </c>
      <c r="C24" s="9" t="s">
        <v>156</v>
      </c>
      <c r="D24" s="20" t="s">
        <v>157</v>
      </c>
      <c r="E24" s="20" t="s">
        <v>158</v>
      </c>
      <c r="F24" s="20" t="s">
        <v>159</v>
      </c>
    </row>
    <row r="25" customFormat="false" ht="15" hidden="false" customHeight="false" outlineLevel="0" collapsed="false">
      <c r="A25" s="9" t="n">
        <v>21</v>
      </c>
      <c r="B25" s="19" t="s">
        <v>160</v>
      </c>
      <c r="C25" s="9" t="s">
        <v>161</v>
      </c>
      <c r="D25" s="20" t="s">
        <v>162</v>
      </c>
      <c r="E25" s="20" t="s">
        <v>163</v>
      </c>
      <c r="F25" s="20" t="s">
        <v>163</v>
      </c>
    </row>
    <row r="26" customFormat="false" ht="15" hidden="false" customHeight="false" outlineLevel="0" collapsed="false">
      <c r="A26" s="9" t="n">
        <v>22</v>
      </c>
      <c r="B26" s="19" t="s">
        <v>164</v>
      </c>
      <c r="C26" s="9" t="s">
        <v>161</v>
      </c>
      <c r="D26" s="20" t="s">
        <v>165</v>
      </c>
      <c r="E26" s="20" t="s">
        <v>166</v>
      </c>
      <c r="F26" s="20" t="s">
        <v>163</v>
      </c>
    </row>
    <row r="27" customFormat="false" ht="23.85" hidden="false" customHeight="false" outlineLevel="0" collapsed="false">
      <c r="A27" s="9" t="n">
        <v>23</v>
      </c>
      <c r="B27" s="19" t="s">
        <v>167</v>
      </c>
      <c r="C27" s="9" t="s">
        <v>161</v>
      </c>
      <c r="D27" s="20" t="s">
        <v>168</v>
      </c>
      <c r="E27" s="20" t="s">
        <v>169</v>
      </c>
      <c r="F27" s="20" t="s">
        <v>163</v>
      </c>
    </row>
    <row r="28" customFormat="false" ht="23.85" hidden="false" customHeight="false" outlineLevel="0" collapsed="false">
      <c r="A28" s="9" t="n">
        <v>24</v>
      </c>
      <c r="B28" s="19" t="s">
        <v>170</v>
      </c>
      <c r="C28" s="9" t="s">
        <v>161</v>
      </c>
      <c r="D28" s="20" t="s">
        <v>171</v>
      </c>
      <c r="E28" s="20" t="s">
        <v>172</v>
      </c>
      <c r="F28" s="20" t="s">
        <v>163</v>
      </c>
    </row>
    <row r="29" customFormat="false" ht="15" hidden="false" customHeight="false" outlineLevel="0" collapsed="false">
      <c r="A29" s="9" t="n">
        <v>25</v>
      </c>
      <c r="B29" s="19" t="s">
        <v>173</v>
      </c>
      <c r="C29" s="9" t="s">
        <v>161</v>
      </c>
      <c r="D29" s="20" t="s">
        <v>174</v>
      </c>
      <c r="E29" s="20" t="s">
        <v>175</v>
      </c>
      <c r="F29" s="20" t="s">
        <v>176</v>
      </c>
    </row>
    <row r="30" customFormat="false" ht="15" hidden="false" customHeight="false" outlineLevel="0" collapsed="false">
      <c r="A30" s="9" t="n">
        <v>26</v>
      </c>
      <c r="B30" s="19" t="s">
        <v>177</v>
      </c>
      <c r="C30" s="9" t="s">
        <v>161</v>
      </c>
      <c r="D30" s="20" t="s">
        <v>178</v>
      </c>
      <c r="E30" s="20" t="s">
        <v>179</v>
      </c>
      <c r="F30" s="20" t="s">
        <v>163</v>
      </c>
    </row>
    <row r="31" customFormat="false" ht="23.85" hidden="false" customHeight="false" outlineLevel="0" collapsed="false">
      <c r="A31" s="9" t="n">
        <v>27</v>
      </c>
      <c r="B31" s="19" t="s">
        <v>180</v>
      </c>
      <c r="C31" s="9" t="s">
        <v>181</v>
      </c>
      <c r="D31" s="20" t="s">
        <v>182</v>
      </c>
      <c r="E31" s="20" t="s">
        <v>183</v>
      </c>
      <c r="F31" s="20" t="s">
        <v>184</v>
      </c>
    </row>
  </sheetData>
  <conditionalFormatting sqref="C5:C31">
    <cfRule type="cellIs" priority="2" operator="equal" aboveAverage="0" equalAverage="0" bottom="0" percent="0" rank="0" text="" dxfId="0">
      <formula>"PROBLEM"</formula>
    </cfRule>
    <cfRule type="cellIs" priority="3" operator="equal" aboveAverage="0" equalAverage="0" bottom="0" percent="0" rank="0" text="" dxfId="1">
      <formula>"OK"</formula>
    </cfRule>
    <cfRule type="cellIs" priority="4" operator="equal" aboveAverage="0" equalAverage="0" bottom="0" percent="0" rank="0" text="" dxfId="2">
      <formula>"CHECK"</formula>
    </cfRule>
    <cfRule type="cellIs" priority="5" operator="equal" aboveAverage="0" equalAverage="0" bottom="0" percent="0" rank="0" text="" dxfId="3">
      <formula>"MISSING"</formula>
    </cfRule>
    <cfRule type="cellIs" priority="6" operator="equal" aboveAverage="0" equalAverage="0" bottom="0" percent="0" rank="0" text="" dxfId="2">
      <formula>"IMPROVE"</formula>
    </cfRule>
    <cfRule type="cellIs" priority="7" operator="equal" aboveAverage="0" equalAverage="0" bottom="0" percent="0" rank="0" text="" dxfId="4">
      <formula>"UNKNOWN"</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0000"/>
    <pageSetUpPr fitToPage="false"/>
  </sheetPr>
  <dimension ref="A1:L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6"/>
    <col collapsed="false" customWidth="true" hidden="false" outlineLevel="0" max="2" min="2" style="0" width="14"/>
    <col collapsed="false" customWidth="true" hidden="false" outlineLevel="0" max="3" min="3" style="0" width="30"/>
    <col collapsed="false" customWidth="true" hidden="false" outlineLevel="0" max="4" min="4" style="0" width="44"/>
    <col collapsed="false" customWidth="true" hidden="false" outlineLevel="0" max="5" min="5" style="0" width="50"/>
    <col collapsed="false" customWidth="true" hidden="false" outlineLevel="0" max="6" min="6" style="0" width="30"/>
    <col collapsed="false" customWidth="true" hidden="false" outlineLevel="0" max="8" min="7" style="0" width="9"/>
    <col collapsed="false" customWidth="true" hidden="false" outlineLevel="0" max="9" min="9" style="0" width="40"/>
    <col collapsed="false" customWidth="true" hidden="false" outlineLevel="0" max="10" min="10" style="0" width="26"/>
    <col collapsed="false" customWidth="true" hidden="false" outlineLevel="0" max="12" min="11" style="0" width="12"/>
  </cols>
  <sheetData>
    <row r="1" customFormat="false" ht="17.35" hidden="false" customHeight="false" outlineLevel="0" collapsed="false">
      <c r="A1" s="17" t="s">
        <v>185</v>
      </c>
    </row>
    <row r="2" customFormat="false" ht="30" hidden="false" customHeight="true" outlineLevel="0" collapsed="false">
      <c r="A2" s="21" t="s">
        <v>186</v>
      </c>
      <c r="B2" s="21"/>
      <c r="C2" s="21"/>
      <c r="D2" s="21"/>
      <c r="E2" s="21"/>
      <c r="F2" s="21"/>
      <c r="G2" s="21"/>
      <c r="H2" s="21"/>
      <c r="I2" s="21"/>
      <c r="J2" s="21"/>
      <c r="K2" s="21"/>
      <c r="L2" s="21"/>
    </row>
    <row r="4" customFormat="false" ht="30" hidden="false" customHeight="true" outlineLevel="0" collapsed="false">
      <c r="A4" s="7" t="s">
        <v>187</v>
      </c>
      <c r="B4" s="7" t="s">
        <v>188</v>
      </c>
      <c r="C4" s="7" t="s">
        <v>189</v>
      </c>
      <c r="D4" s="7" t="s">
        <v>74</v>
      </c>
      <c r="E4" s="7" t="s">
        <v>190</v>
      </c>
      <c r="F4" s="7" t="s">
        <v>191</v>
      </c>
      <c r="G4" s="7" t="s">
        <v>192</v>
      </c>
      <c r="H4" s="7" t="s">
        <v>193</v>
      </c>
      <c r="I4" s="7" t="s">
        <v>194</v>
      </c>
      <c r="J4" s="7" t="s">
        <v>195</v>
      </c>
      <c r="K4" s="7" t="s">
        <v>196</v>
      </c>
      <c r="L4" s="7" t="s">
        <v>197</v>
      </c>
    </row>
    <row r="5" customFormat="false" ht="15" hidden="false" customHeight="false" outlineLevel="0" collapsed="false">
      <c r="A5" s="22" t="s">
        <v>198</v>
      </c>
      <c r="B5" s="22"/>
      <c r="C5" s="22"/>
      <c r="D5" s="22"/>
      <c r="E5" s="22"/>
      <c r="F5" s="22"/>
      <c r="G5" s="22"/>
      <c r="H5" s="22"/>
      <c r="I5" s="22"/>
      <c r="J5" s="22"/>
      <c r="K5" s="22"/>
      <c r="L5" s="22"/>
    </row>
    <row r="6" customFormat="false" ht="57.45" hidden="false" customHeight="false" outlineLevel="0" collapsed="false">
      <c r="A6" s="9" t="s">
        <v>80</v>
      </c>
      <c r="B6" s="20" t="s">
        <v>199</v>
      </c>
      <c r="C6" s="19" t="s">
        <v>200</v>
      </c>
      <c r="D6" s="20" t="s">
        <v>201</v>
      </c>
      <c r="E6" s="20" t="s">
        <v>202</v>
      </c>
      <c r="F6" s="20" t="s">
        <v>203</v>
      </c>
      <c r="G6" s="9" t="s">
        <v>204</v>
      </c>
      <c r="H6" s="9" t="s">
        <v>205</v>
      </c>
      <c r="I6" s="20" t="s">
        <v>206</v>
      </c>
      <c r="J6" s="20" t="s">
        <v>207</v>
      </c>
      <c r="K6" s="23"/>
      <c r="L6" s="24" t="s">
        <v>208</v>
      </c>
    </row>
    <row r="7" customFormat="false" ht="35.05" hidden="false" customHeight="false" outlineLevel="0" collapsed="false">
      <c r="A7" s="9" t="s">
        <v>84</v>
      </c>
      <c r="B7" s="20" t="s">
        <v>199</v>
      </c>
      <c r="C7" s="19" t="s">
        <v>209</v>
      </c>
      <c r="D7" s="20" t="s">
        <v>210</v>
      </c>
      <c r="E7" s="20" t="s">
        <v>211</v>
      </c>
      <c r="F7" s="20" t="s">
        <v>212</v>
      </c>
      <c r="G7" s="9" t="s">
        <v>204</v>
      </c>
      <c r="H7" s="9" t="s">
        <v>205</v>
      </c>
      <c r="I7" s="20" t="s">
        <v>213</v>
      </c>
      <c r="J7" s="20" t="s">
        <v>214</v>
      </c>
      <c r="K7" s="23"/>
      <c r="L7" s="24" t="s">
        <v>208</v>
      </c>
    </row>
    <row r="8" customFormat="false" ht="46.25" hidden="false" customHeight="false" outlineLevel="0" collapsed="false">
      <c r="A8" s="9" t="s">
        <v>215</v>
      </c>
      <c r="B8" s="20" t="s">
        <v>199</v>
      </c>
      <c r="C8" s="19" t="s">
        <v>216</v>
      </c>
      <c r="D8" s="20" t="s">
        <v>217</v>
      </c>
      <c r="E8" s="20" t="s">
        <v>218</v>
      </c>
      <c r="F8" s="20" t="s">
        <v>219</v>
      </c>
      <c r="G8" s="9" t="s">
        <v>204</v>
      </c>
      <c r="H8" s="9" t="s">
        <v>205</v>
      </c>
      <c r="I8" s="20" t="s">
        <v>220</v>
      </c>
      <c r="J8" s="20" t="s">
        <v>221</v>
      </c>
      <c r="K8" s="23"/>
      <c r="L8" s="24" t="s">
        <v>208</v>
      </c>
    </row>
    <row r="9" customFormat="false" ht="15" hidden="false" customHeight="false" outlineLevel="0" collapsed="false">
      <c r="A9" s="22" t="s">
        <v>222</v>
      </c>
      <c r="B9" s="22"/>
      <c r="C9" s="22"/>
      <c r="D9" s="22"/>
      <c r="E9" s="22"/>
      <c r="F9" s="22"/>
      <c r="G9" s="22"/>
      <c r="H9" s="22"/>
      <c r="I9" s="22"/>
      <c r="J9" s="22"/>
      <c r="K9" s="22"/>
      <c r="L9" s="22"/>
    </row>
    <row r="10" customFormat="false" ht="57.45" hidden="false" customHeight="false" outlineLevel="0" collapsed="false">
      <c r="A10" s="9" t="s">
        <v>88</v>
      </c>
      <c r="B10" s="20" t="s">
        <v>199</v>
      </c>
      <c r="C10" s="19" t="s">
        <v>223</v>
      </c>
      <c r="D10" s="20" t="s">
        <v>224</v>
      </c>
      <c r="E10" s="20" t="s">
        <v>225</v>
      </c>
      <c r="F10" s="20" t="s">
        <v>226</v>
      </c>
      <c r="G10" s="9" t="s">
        <v>204</v>
      </c>
      <c r="H10" s="9" t="s">
        <v>227</v>
      </c>
      <c r="I10" s="20" t="s">
        <v>228</v>
      </c>
      <c r="J10" s="20" t="s">
        <v>229</v>
      </c>
      <c r="K10" s="23"/>
      <c r="L10" s="24" t="s">
        <v>208</v>
      </c>
    </row>
    <row r="11" customFormat="false" ht="35.05" hidden="false" customHeight="false" outlineLevel="0" collapsed="false">
      <c r="A11" s="9" t="s">
        <v>93</v>
      </c>
      <c r="B11" s="20" t="s">
        <v>199</v>
      </c>
      <c r="C11" s="19" t="s">
        <v>230</v>
      </c>
      <c r="D11" s="20" t="s">
        <v>231</v>
      </c>
      <c r="E11" s="20" t="s">
        <v>232</v>
      </c>
      <c r="F11" s="20" t="s">
        <v>233</v>
      </c>
      <c r="G11" s="9" t="s">
        <v>234</v>
      </c>
      <c r="H11" s="9" t="s">
        <v>227</v>
      </c>
      <c r="I11" s="20" t="s">
        <v>235</v>
      </c>
      <c r="J11" s="20" t="s">
        <v>236</v>
      </c>
      <c r="K11" s="23"/>
      <c r="L11" s="24" t="s">
        <v>208</v>
      </c>
    </row>
    <row r="12" customFormat="false" ht="35.05" hidden="false" customHeight="false" outlineLevel="0" collapsed="false">
      <c r="A12" s="9" t="s">
        <v>237</v>
      </c>
      <c r="B12" s="20" t="s">
        <v>199</v>
      </c>
      <c r="C12" s="19" t="s">
        <v>238</v>
      </c>
      <c r="D12" s="20" t="s">
        <v>239</v>
      </c>
      <c r="E12" s="20" t="s">
        <v>240</v>
      </c>
      <c r="F12" s="20" t="s">
        <v>241</v>
      </c>
      <c r="G12" s="9" t="s">
        <v>234</v>
      </c>
      <c r="H12" s="9" t="s">
        <v>227</v>
      </c>
      <c r="I12" s="20" t="s">
        <v>242</v>
      </c>
      <c r="J12" s="20" t="s">
        <v>243</v>
      </c>
      <c r="K12" s="23"/>
      <c r="L12" s="24" t="s">
        <v>208</v>
      </c>
    </row>
    <row r="13" customFormat="false" ht="35.05" hidden="false" customHeight="false" outlineLevel="0" collapsed="false">
      <c r="A13" s="9" t="s">
        <v>244</v>
      </c>
      <c r="B13" s="20" t="s">
        <v>245</v>
      </c>
      <c r="C13" s="19" t="s">
        <v>246</v>
      </c>
      <c r="D13" s="20" t="s">
        <v>247</v>
      </c>
      <c r="E13" s="20" t="s">
        <v>248</v>
      </c>
      <c r="F13" s="20" t="s">
        <v>241</v>
      </c>
      <c r="G13" s="9" t="s">
        <v>234</v>
      </c>
      <c r="H13" s="9" t="s">
        <v>205</v>
      </c>
      <c r="I13" s="20" t="s">
        <v>163</v>
      </c>
      <c r="J13" s="20" t="s">
        <v>249</v>
      </c>
      <c r="K13" s="23"/>
      <c r="L13" s="24" t="s">
        <v>208</v>
      </c>
    </row>
    <row r="14" customFormat="false" ht="35.05" hidden="false" customHeight="false" outlineLevel="0" collapsed="false">
      <c r="A14" s="9" t="s">
        <v>250</v>
      </c>
      <c r="B14" s="20" t="s">
        <v>251</v>
      </c>
      <c r="C14" s="19" t="s">
        <v>252</v>
      </c>
      <c r="D14" s="20" t="s">
        <v>253</v>
      </c>
      <c r="E14" s="20" t="s">
        <v>254</v>
      </c>
      <c r="F14" s="20" t="s">
        <v>241</v>
      </c>
      <c r="G14" s="9" t="s">
        <v>234</v>
      </c>
      <c r="H14" s="9" t="s">
        <v>205</v>
      </c>
      <c r="I14" s="20" t="s">
        <v>163</v>
      </c>
      <c r="J14" s="20" t="s">
        <v>255</v>
      </c>
      <c r="K14" s="23"/>
      <c r="L14" s="24" t="s">
        <v>208</v>
      </c>
    </row>
  </sheetData>
  <autoFilter ref="A4:L14"/>
  <mergeCells count="3">
    <mergeCell ref="A2:L2"/>
    <mergeCell ref="A5:L5"/>
    <mergeCell ref="A9:L9"/>
  </mergeCells>
  <conditionalFormatting sqref="G5:G14">
    <cfRule type="cellIs" priority="2" operator="equal" aboveAverage="0" equalAverage="0" bottom="0" percent="0" rank="0" text="" dxfId="18">
      <formula>"Must"</formula>
    </cfRule>
    <cfRule type="cellIs" priority="3" operator="equal" aboveAverage="0" equalAverage="0" bottom="0" percent="0" rank="0" text="" dxfId="19">
      <formula>"Should"</formula>
    </cfRule>
    <cfRule type="cellIs" priority="4" operator="equal" aboveAverage="0" equalAverage="0" bottom="0" percent="0" rank="0" text="" dxfId="20">
      <formula>"Nice"</formula>
    </cfRule>
  </conditionalFormatting>
  <conditionalFormatting sqref="H5:H14">
    <cfRule type="cellIs" priority="5" operator="equal" aboveAverage="0" equalAverage="0" bottom="0" percent="0" rank="0" text="" dxfId="21">
      <formula>"High"</formula>
    </cfRule>
    <cfRule type="cellIs" priority="6" operator="equal" aboveAverage="0" equalAverage="0" bottom="0" percent="0" rank="0" text="" dxfId="22">
      <formula>"Medium"</formula>
    </cfRule>
    <cfRule type="cellIs" priority="7" operator="equal" aboveAverage="0" equalAverage="0" bottom="0" percent="0" rank="0" text="" dxfId="23">
      <formula>"Low"</formula>
    </cfRule>
  </conditionalFormatting>
  <conditionalFormatting sqref="L5:L14">
    <cfRule type="cellIs" priority="8" operator="equal" aboveAverage="0" equalAverage="0" bottom="0" percent="0" rank="0" text="" dxfId="24">
      <formula>"Done"</formula>
    </cfRule>
    <cfRule type="cellIs" priority="9" operator="equal" aboveAverage="0" equalAverage="0" bottom="0" percent="0" rank="0" text="" dxfId="21">
      <formula>"Blocked"</formula>
    </cfRule>
    <cfRule type="cellIs" priority="10" operator="equal" aboveAverage="0" equalAverage="0" bottom="0" percent="0" rank="0" text="" dxfId="25">
      <formula>"In progress"</formula>
    </cfRule>
  </conditionalFormatting>
  <conditionalFormatting sqref="F5:F14">
    <cfRule type="expression" priority="11" aboveAverage="0" equalAverage="0" bottom="0" percent="0" rank="0" text="" dxfId="26">
      <formula>LEFT(F5,7)="PROBLEM"</formula>
    </cfRule>
    <cfRule type="expression" priority="12" aboveAverage="0" equalAverage="0" bottom="0" percent="0" rank="0" text="" dxfId="27">
      <formula>LEFT(F5,2)="OK"</formula>
    </cfRule>
  </conditionalFormatting>
  <dataValidations count="1">
    <dataValidation allowBlank="true" errorStyle="stop" operator="between" showDropDown="false" showErrorMessage="false" showInputMessage="false" sqref="L5:L14" type="list">
      <formula1>"Not started,In progress,Done,Blocked,Not needed"</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00000"/>
    <pageSetUpPr fitToPage="false"/>
  </sheetPr>
  <dimension ref="A1:L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6"/>
    <col collapsed="false" customWidth="true" hidden="false" outlineLevel="0" max="2" min="2" style="0" width="14"/>
    <col collapsed="false" customWidth="true" hidden="false" outlineLevel="0" max="3" min="3" style="0" width="30"/>
    <col collapsed="false" customWidth="true" hidden="false" outlineLevel="0" max="4" min="4" style="0" width="44"/>
    <col collapsed="false" customWidth="true" hidden="false" outlineLevel="0" max="5" min="5" style="0" width="50"/>
    <col collapsed="false" customWidth="true" hidden="false" outlineLevel="0" max="6" min="6" style="0" width="30"/>
    <col collapsed="false" customWidth="true" hidden="false" outlineLevel="0" max="8" min="7" style="0" width="9"/>
    <col collapsed="false" customWidth="true" hidden="false" outlineLevel="0" max="9" min="9" style="0" width="40"/>
    <col collapsed="false" customWidth="true" hidden="false" outlineLevel="0" max="10" min="10" style="0" width="26"/>
    <col collapsed="false" customWidth="true" hidden="false" outlineLevel="0" max="12" min="11" style="0" width="12"/>
  </cols>
  <sheetData>
    <row r="1" customFormat="false" ht="17.35" hidden="false" customHeight="false" outlineLevel="0" collapsed="false">
      <c r="A1" s="17" t="s">
        <v>256</v>
      </c>
    </row>
    <row r="2" customFormat="false" ht="30" hidden="false" customHeight="true" outlineLevel="0" collapsed="false">
      <c r="A2" s="21" t="s">
        <v>257</v>
      </c>
      <c r="B2" s="21"/>
      <c r="C2" s="21"/>
      <c r="D2" s="21"/>
      <c r="E2" s="21"/>
      <c r="F2" s="21"/>
      <c r="G2" s="21"/>
      <c r="H2" s="21"/>
      <c r="I2" s="21"/>
      <c r="J2" s="21"/>
      <c r="K2" s="21"/>
      <c r="L2" s="21"/>
    </row>
    <row r="4" customFormat="false" ht="30" hidden="false" customHeight="true" outlineLevel="0" collapsed="false">
      <c r="A4" s="7" t="s">
        <v>187</v>
      </c>
      <c r="B4" s="7" t="s">
        <v>188</v>
      </c>
      <c r="C4" s="7" t="s">
        <v>189</v>
      </c>
      <c r="D4" s="7" t="s">
        <v>74</v>
      </c>
      <c r="E4" s="7" t="s">
        <v>190</v>
      </c>
      <c r="F4" s="7" t="s">
        <v>191</v>
      </c>
      <c r="G4" s="7" t="s">
        <v>192</v>
      </c>
      <c r="H4" s="7" t="s">
        <v>193</v>
      </c>
      <c r="I4" s="7" t="s">
        <v>194</v>
      </c>
      <c r="J4" s="7" t="s">
        <v>195</v>
      </c>
      <c r="K4" s="7" t="s">
        <v>196</v>
      </c>
      <c r="L4" s="7" t="s">
        <v>197</v>
      </c>
    </row>
    <row r="5" customFormat="false" ht="15" hidden="false" customHeight="false" outlineLevel="0" collapsed="false">
      <c r="A5" s="22" t="s">
        <v>258</v>
      </c>
      <c r="B5" s="22"/>
      <c r="C5" s="22"/>
      <c r="D5" s="22"/>
      <c r="E5" s="22"/>
      <c r="F5" s="22"/>
      <c r="G5" s="22"/>
      <c r="H5" s="22"/>
      <c r="I5" s="22"/>
      <c r="J5" s="22"/>
      <c r="K5" s="22"/>
      <c r="L5" s="22"/>
    </row>
    <row r="6" customFormat="false" ht="57.45" hidden="false" customHeight="false" outlineLevel="0" collapsed="false">
      <c r="A6" s="9" t="s">
        <v>259</v>
      </c>
      <c r="B6" s="20" t="s">
        <v>260</v>
      </c>
      <c r="C6" s="19" t="s">
        <v>261</v>
      </c>
      <c r="D6" s="20" t="s">
        <v>262</v>
      </c>
      <c r="E6" s="20" t="s">
        <v>263</v>
      </c>
      <c r="F6" s="20" t="s">
        <v>264</v>
      </c>
      <c r="G6" s="9" t="s">
        <v>204</v>
      </c>
      <c r="H6" s="9" t="s">
        <v>205</v>
      </c>
      <c r="I6" s="20" t="s">
        <v>265</v>
      </c>
      <c r="J6" s="20" t="s">
        <v>266</v>
      </c>
      <c r="K6" s="23"/>
      <c r="L6" s="24" t="s">
        <v>208</v>
      </c>
    </row>
    <row r="7" customFormat="false" ht="46.25" hidden="false" customHeight="false" outlineLevel="0" collapsed="false">
      <c r="A7" s="9" t="s">
        <v>267</v>
      </c>
      <c r="B7" s="20" t="s">
        <v>260</v>
      </c>
      <c r="C7" s="19" t="s">
        <v>268</v>
      </c>
      <c r="D7" s="20" t="s">
        <v>269</v>
      </c>
      <c r="E7" s="20" t="s">
        <v>270</v>
      </c>
      <c r="F7" s="20" t="s">
        <v>271</v>
      </c>
      <c r="G7" s="9" t="s">
        <v>204</v>
      </c>
      <c r="H7" s="9" t="s">
        <v>205</v>
      </c>
      <c r="I7" s="20" t="s">
        <v>272</v>
      </c>
      <c r="J7" s="20" t="s">
        <v>273</v>
      </c>
      <c r="K7" s="23"/>
      <c r="L7" s="24" t="s">
        <v>208</v>
      </c>
    </row>
    <row r="8" customFormat="false" ht="35.05" hidden="false" customHeight="false" outlineLevel="0" collapsed="false">
      <c r="A8" s="9" t="s">
        <v>274</v>
      </c>
      <c r="B8" s="20" t="s">
        <v>275</v>
      </c>
      <c r="C8" s="19" t="s">
        <v>276</v>
      </c>
      <c r="D8" s="20" t="s">
        <v>277</v>
      </c>
      <c r="E8" s="20" t="s">
        <v>278</v>
      </c>
      <c r="F8" s="20" t="s">
        <v>279</v>
      </c>
      <c r="G8" s="9" t="s">
        <v>204</v>
      </c>
      <c r="H8" s="9" t="s">
        <v>205</v>
      </c>
      <c r="I8" s="20" t="s">
        <v>272</v>
      </c>
      <c r="J8" s="20" t="s">
        <v>280</v>
      </c>
      <c r="K8" s="23"/>
      <c r="L8" s="24" t="s">
        <v>208</v>
      </c>
    </row>
    <row r="9" customFormat="false" ht="35.05" hidden="false" customHeight="false" outlineLevel="0" collapsed="false">
      <c r="A9" s="9" t="s">
        <v>281</v>
      </c>
      <c r="B9" s="20" t="s">
        <v>275</v>
      </c>
      <c r="C9" s="19" t="s">
        <v>282</v>
      </c>
      <c r="D9" s="20" t="s">
        <v>283</v>
      </c>
      <c r="E9" s="20" t="s">
        <v>284</v>
      </c>
      <c r="F9" s="20" t="s">
        <v>279</v>
      </c>
      <c r="G9" s="9" t="s">
        <v>234</v>
      </c>
      <c r="H9" s="9" t="s">
        <v>205</v>
      </c>
      <c r="I9" s="20" t="s">
        <v>285</v>
      </c>
      <c r="J9" s="20" t="s">
        <v>286</v>
      </c>
      <c r="K9" s="23"/>
      <c r="L9" s="24" t="s">
        <v>208</v>
      </c>
    </row>
    <row r="10" customFormat="false" ht="23.85" hidden="false" customHeight="false" outlineLevel="0" collapsed="false">
      <c r="A10" s="9" t="s">
        <v>287</v>
      </c>
      <c r="B10" s="20" t="s">
        <v>288</v>
      </c>
      <c r="C10" s="19" t="s">
        <v>289</v>
      </c>
      <c r="D10" s="20" t="s">
        <v>290</v>
      </c>
      <c r="E10" s="20" t="s">
        <v>291</v>
      </c>
      <c r="F10" s="20" t="s">
        <v>241</v>
      </c>
      <c r="G10" s="9" t="s">
        <v>234</v>
      </c>
      <c r="H10" s="9" t="s">
        <v>205</v>
      </c>
      <c r="I10" s="20" t="s">
        <v>292</v>
      </c>
      <c r="J10" s="20" t="s">
        <v>293</v>
      </c>
      <c r="K10" s="23"/>
      <c r="L10" s="24" t="s">
        <v>208</v>
      </c>
    </row>
    <row r="11" customFormat="false" ht="23.85" hidden="false" customHeight="false" outlineLevel="0" collapsed="false">
      <c r="A11" s="9" t="s">
        <v>294</v>
      </c>
      <c r="B11" s="20" t="s">
        <v>295</v>
      </c>
      <c r="C11" s="19" t="s">
        <v>296</v>
      </c>
      <c r="D11" s="20" t="s">
        <v>297</v>
      </c>
      <c r="E11" s="20" t="s">
        <v>298</v>
      </c>
      <c r="F11" s="20" t="s">
        <v>299</v>
      </c>
      <c r="G11" s="9" t="s">
        <v>204</v>
      </c>
      <c r="H11" s="9" t="s">
        <v>205</v>
      </c>
      <c r="I11" s="20" t="s">
        <v>163</v>
      </c>
      <c r="J11" s="20" t="s">
        <v>300</v>
      </c>
      <c r="K11" s="23"/>
      <c r="L11" s="24" t="s">
        <v>208</v>
      </c>
    </row>
    <row r="12" customFormat="false" ht="15" hidden="false" customHeight="false" outlineLevel="0" collapsed="false">
      <c r="A12" s="22" t="s">
        <v>301</v>
      </c>
      <c r="B12" s="22"/>
      <c r="C12" s="22"/>
      <c r="D12" s="22"/>
      <c r="E12" s="22"/>
      <c r="F12" s="22"/>
      <c r="G12" s="22"/>
      <c r="H12" s="22"/>
      <c r="I12" s="22"/>
      <c r="J12" s="22"/>
      <c r="K12" s="22"/>
      <c r="L12" s="22"/>
    </row>
    <row r="13" customFormat="false" ht="35.05" hidden="false" customHeight="false" outlineLevel="0" collapsed="false">
      <c r="A13" s="9" t="s">
        <v>302</v>
      </c>
      <c r="B13" s="20" t="s">
        <v>303</v>
      </c>
      <c r="C13" s="19" t="s">
        <v>304</v>
      </c>
      <c r="D13" s="20" t="s">
        <v>305</v>
      </c>
      <c r="E13" s="20" t="s">
        <v>306</v>
      </c>
      <c r="F13" s="20" t="s">
        <v>241</v>
      </c>
      <c r="G13" s="9" t="s">
        <v>204</v>
      </c>
      <c r="H13" s="9" t="s">
        <v>205</v>
      </c>
      <c r="I13" s="20" t="s">
        <v>307</v>
      </c>
      <c r="J13" s="20" t="s">
        <v>308</v>
      </c>
      <c r="K13" s="23"/>
      <c r="L13" s="24" t="s">
        <v>208</v>
      </c>
    </row>
    <row r="14" customFormat="false" ht="35.05" hidden="false" customHeight="false" outlineLevel="0" collapsed="false">
      <c r="A14" s="9" t="s">
        <v>309</v>
      </c>
      <c r="B14" s="20" t="s">
        <v>303</v>
      </c>
      <c r="C14" s="19" t="s">
        <v>310</v>
      </c>
      <c r="D14" s="20" t="s">
        <v>311</v>
      </c>
      <c r="E14" s="20" t="s">
        <v>312</v>
      </c>
      <c r="F14" s="20" t="s">
        <v>241</v>
      </c>
      <c r="G14" s="9" t="s">
        <v>204</v>
      </c>
      <c r="H14" s="9" t="s">
        <v>205</v>
      </c>
      <c r="I14" s="20" t="s">
        <v>163</v>
      </c>
      <c r="J14" s="20" t="s">
        <v>313</v>
      </c>
      <c r="K14" s="23"/>
      <c r="L14" s="24" t="s">
        <v>208</v>
      </c>
    </row>
    <row r="15" customFormat="false" ht="23.85" hidden="false" customHeight="false" outlineLevel="0" collapsed="false">
      <c r="A15" s="9" t="s">
        <v>314</v>
      </c>
      <c r="B15" s="20" t="s">
        <v>303</v>
      </c>
      <c r="C15" s="19" t="s">
        <v>315</v>
      </c>
      <c r="D15" s="20" t="s">
        <v>316</v>
      </c>
      <c r="E15" s="20" t="s">
        <v>317</v>
      </c>
      <c r="F15" s="20" t="s">
        <v>241</v>
      </c>
      <c r="G15" s="9" t="s">
        <v>234</v>
      </c>
      <c r="H15" s="9" t="s">
        <v>205</v>
      </c>
      <c r="I15" s="20" t="s">
        <v>163</v>
      </c>
      <c r="J15" s="20" t="s">
        <v>318</v>
      </c>
      <c r="K15" s="23"/>
      <c r="L15" s="24" t="s">
        <v>208</v>
      </c>
    </row>
  </sheetData>
  <autoFilter ref="A4:L15"/>
  <mergeCells count="3">
    <mergeCell ref="A2:L2"/>
    <mergeCell ref="A5:L5"/>
    <mergeCell ref="A12:L12"/>
  </mergeCells>
  <conditionalFormatting sqref="G5:G15">
    <cfRule type="cellIs" priority="2" operator="equal" aboveAverage="0" equalAverage="0" bottom="0" percent="0" rank="0" text="" dxfId="18">
      <formula>"Must"</formula>
    </cfRule>
    <cfRule type="cellIs" priority="3" operator="equal" aboveAverage="0" equalAverage="0" bottom="0" percent="0" rank="0" text="" dxfId="19">
      <formula>"Should"</formula>
    </cfRule>
    <cfRule type="cellIs" priority="4" operator="equal" aboveAverage="0" equalAverage="0" bottom="0" percent="0" rank="0" text="" dxfId="20">
      <formula>"Nice"</formula>
    </cfRule>
  </conditionalFormatting>
  <conditionalFormatting sqref="H5:H15">
    <cfRule type="cellIs" priority="5" operator="equal" aboveAverage="0" equalAverage="0" bottom="0" percent="0" rank="0" text="" dxfId="21">
      <formula>"High"</formula>
    </cfRule>
    <cfRule type="cellIs" priority="6" operator="equal" aboveAverage="0" equalAverage="0" bottom="0" percent="0" rank="0" text="" dxfId="22">
      <formula>"Medium"</formula>
    </cfRule>
    <cfRule type="cellIs" priority="7" operator="equal" aboveAverage="0" equalAverage="0" bottom="0" percent="0" rank="0" text="" dxfId="23">
      <formula>"Low"</formula>
    </cfRule>
  </conditionalFormatting>
  <conditionalFormatting sqref="L5:L15">
    <cfRule type="cellIs" priority="8" operator="equal" aboveAverage="0" equalAverage="0" bottom="0" percent="0" rank="0" text="" dxfId="24">
      <formula>"Done"</formula>
    </cfRule>
    <cfRule type="cellIs" priority="9" operator="equal" aboveAverage="0" equalAverage="0" bottom="0" percent="0" rank="0" text="" dxfId="21">
      <formula>"Blocked"</formula>
    </cfRule>
    <cfRule type="cellIs" priority="10" operator="equal" aboveAverage="0" equalAverage="0" bottom="0" percent="0" rank="0" text="" dxfId="25">
      <formula>"In progress"</formula>
    </cfRule>
  </conditionalFormatting>
  <conditionalFormatting sqref="F5:F15">
    <cfRule type="expression" priority="11" aboveAverage="0" equalAverage="0" bottom="0" percent="0" rank="0" text="" dxfId="26">
      <formula>LEFT(F5,7)="PROBLEM"</formula>
    </cfRule>
    <cfRule type="expression" priority="12" aboveAverage="0" equalAverage="0" bottom="0" percent="0" rank="0" text="" dxfId="27">
      <formula>LEFT(F5,2)="OK"</formula>
    </cfRule>
  </conditionalFormatting>
  <dataValidations count="1">
    <dataValidation allowBlank="true" errorStyle="stop" operator="between" showDropDown="false" showErrorMessage="false" showInputMessage="false" sqref="L5:L15" type="list">
      <formula1>"Not started,In progress,Done,Blocked,Not needed"</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D7D31"/>
    <pageSetUpPr fitToPage="false"/>
  </sheetPr>
  <dimension ref="A1:L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6"/>
    <col collapsed="false" customWidth="true" hidden="false" outlineLevel="0" max="2" min="2" style="0" width="14"/>
    <col collapsed="false" customWidth="true" hidden="false" outlineLevel="0" max="3" min="3" style="0" width="30"/>
    <col collapsed="false" customWidth="true" hidden="false" outlineLevel="0" max="4" min="4" style="0" width="44"/>
    <col collapsed="false" customWidth="true" hidden="false" outlineLevel="0" max="5" min="5" style="0" width="50"/>
    <col collapsed="false" customWidth="true" hidden="false" outlineLevel="0" max="6" min="6" style="0" width="30"/>
    <col collapsed="false" customWidth="true" hidden="false" outlineLevel="0" max="8" min="7" style="0" width="9"/>
    <col collapsed="false" customWidth="true" hidden="false" outlineLevel="0" max="9" min="9" style="0" width="40"/>
    <col collapsed="false" customWidth="true" hidden="false" outlineLevel="0" max="10" min="10" style="0" width="26"/>
    <col collapsed="false" customWidth="true" hidden="false" outlineLevel="0" max="12" min="11" style="0" width="12"/>
  </cols>
  <sheetData>
    <row r="1" customFormat="false" ht="17.35" hidden="false" customHeight="false" outlineLevel="0" collapsed="false">
      <c r="A1" s="17" t="s">
        <v>319</v>
      </c>
    </row>
    <row r="2" customFormat="false" ht="30" hidden="false" customHeight="true" outlineLevel="0" collapsed="false">
      <c r="A2" s="21" t="s">
        <v>320</v>
      </c>
      <c r="B2" s="21"/>
      <c r="C2" s="21"/>
      <c r="D2" s="21"/>
      <c r="E2" s="21"/>
      <c r="F2" s="21"/>
      <c r="G2" s="21"/>
      <c r="H2" s="21"/>
      <c r="I2" s="21"/>
      <c r="J2" s="21"/>
      <c r="K2" s="21"/>
      <c r="L2" s="21"/>
    </row>
    <row r="4" customFormat="false" ht="30" hidden="false" customHeight="true" outlineLevel="0" collapsed="false">
      <c r="A4" s="7" t="s">
        <v>187</v>
      </c>
      <c r="B4" s="7" t="s">
        <v>188</v>
      </c>
      <c r="C4" s="7" t="s">
        <v>189</v>
      </c>
      <c r="D4" s="7" t="s">
        <v>74</v>
      </c>
      <c r="E4" s="7" t="s">
        <v>190</v>
      </c>
      <c r="F4" s="7" t="s">
        <v>191</v>
      </c>
      <c r="G4" s="7" t="s">
        <v>192</v>
      </c>
      <c r="H4" s="7" t="s">
        <v>193</v>
      </c>
      <c r="I4" s="7" t="s">
        <v>194</v>
      </c>
      <c r="J4" s="7" t="s">
        <v>195</v>
      </c>
      <c r="K4" s="7" t="s">
        <v>196</v>
      </c>
      <c r="L4" s="7" t="s">
        <v>197</v>
      </c>
    </row>
    <row r="5" customFormat="false" ht="15" hidden="false" customHeight="false" outlineLevel="0" collapsed="false">
      <c r="A5" s="22" t="s">
        <v>321</v>
      </c>
      <c r="B5" s="22"/>
      <c r="C5" s="22"/>
      <c r="D5" s="22"/>
      <c r="E5" s="22"/>
      <c r="F5" s="22"/>
      <c r="G5" s="22"/>
      <c r="H5" s="22"/>
      <c r="I5" s="22"/>
      <c r="J5" s="22"/>
      <c r="K5" s="22"/>
      <c r="L5" s="22"/>
    </row>
    <row r="6" customFormat="false" ht="57.45" hidden="false" customHeight="false" outlineLevel="0" collapsed="false">
      <c r="A6" s="9" t="s">
        <v>97</v>
      </c>
      <c r="B6" s="20" t="s">
        <v>322</v>
      </c>
      <c r="C6" s="19" t="s">
        <v>323</v>
      </c>
      <c r="D6" s="20" t="s">
        <v>324</v>
      </c>
      <c r="E6" s="20" t="s">
        <v>325</v>
      </c>
      <c r="F6" s="20" t="s">
        <v>326</v>
      </c>
      <c r="G6" s="9" t="s">
        <v>204</v>
      </c>
      <c r="H6" s="9" t="s">
        <v>227</v>
      </c>
      <c r="I6" s="20" t="s">
        <v>327</v>
      </c>
      <c r="J6" s="20" t="s">
        <v>328</v>
      </c>
      <c r="K6" s="23"/>
      <c r="L6" s="24" t="s">
        <v>208</v>
      </c>
    </row>
    <row r="7" customFormat="false" ht="79.85" hidden="false" customHeight="false" outlineLevel="0" collapsed="false">
      <c r="A7" s="9" t="s">
        <v>101</v>
      </c>
      <c r="B7" s="20" t="s">
        <v>329</v>
      </c>
      <c r="C7" s="19" t="s">
        <v>330</v>
      </c>
      <c r="D7" s="20" t="s">
        <v>331</v>
      </c>
      <c r="E7" s="20" t="s">
        <v>332</v>
      </c>
      <c r="F7" s="20" t="s">
        <v>333</v>
      </c>
      <c r="G7" s="9" t="s">
        <v>204</v>
      </c>
      <c r="H7" s="9" t="s">
        <v>205</v>
      </c>
      <c r="I7" s="20" t="s">
        <v>334</v>
      </c>
      <c r="J7" s="20" t="s">
        <v>335</v>
      </c>
      <c r="K7" s="23"/>
      <c r="L7" s="24" t="s">
        <v>208</v>
      </c>
    </row>
    <row r="8" customFormat="false" ht="35.05" hidden="false" customHeight="false" outlineLevel="0" collapsed="false">
      <c r="A8" s="9" t="s">
        <v>105</v>
      </c>
      <c r="B8" s="20" t="s">
        <v>336</v>
      </c>
      <c r="C8" s="19" t="s">
        <v>337</v>
      </c>
      <c r="D8" s="20" t="s">
        <v>338</v>
      </c>
      <c r="E8" s="20" t="s">
        <v>339</v>
      </c>
      <c r="F8" s="20" t="s">
        <v>340</v>
      </c>
      <c r="G8" s="9" t="s">
        <v>204</v>
      </c>
      <c r="H8" s="9" t="s">
        <v>205</v>
      </c>
      <c r="I8" s="20" t="s">
        <v>341</v>
      </c>
      <c r="J8" s="20" t="s">
        <v>342</v>
      </c>
      <c r="K8" s="23"/>
      <c r="L8" s="24" t="s">
        <v>208</v>
      </c>
    </row>
    <row r="9" customFormat="false" ht="35.05" hidden="false" customHeight="false" outlineLevel="0" collapsed="false">
      <c r="A9" s="9" t="s">
        <v>109</v>
      </c>
      <c r="B9" s="20" t="s">
        <v>343</v>
      </c>
      <c r="C9" s="19" t="s">
        <v>344</v>
      </c>
      <c r="D9" s="20" t="s">
        <v>345</v>
      </c>
      <c r="E9" s="20" t="s">
        <v>346</v>
      </c>
      <c r="F9" s="20" t="s">
        <v>347</v>
      </c>
      <c r="G9" s="9" t="s">
        <v>204</v>
      </c>
      <c r="H9" s="9" t="s">
        <v>227</v>
      </c>
      <c r="I9" s="20" t="s">
        <v>348</v>
      </c>
      <c r="J9" s="20" t="s">
        <v>349</v>
      </c>
      <c r="K9" s="23"/>
      <c r="L9" s="24" t="s">
        <v>208</v>
      </c>
    </row>
    <row r="10" customFormat="false" ht="68.65" hidden="false" customHeight="false" outlineLevel="0" collapsed="false">
      <c r="A10" s="9" t="s">
        <v>113</v>
      </c>
      <c r="B10" s="20" t="s">
        <v>350</v>
      </c>
      <c r="C10" s="19" t="s">
        <v>351</v>
      </c>
      <c r="D10" s="20" t="s">
        <v>352</v>
      </c>
      <c r="E10" s="20" t="s">
        <v>353</v>
      </c>
      <c r="F10" s="20" t="s">
        <v>354</v>
      </c>
      <c r="G10" s="9" t="s">
        <v>204</v>
      </c>
      <c r="H10" s="9" t="s">
        <v>227</v>
      </c>
      <c r="I10" s="20" t="s">
        <v>355</v>
      </c>
      <c r="J10" s="20" t="s">
        <v>356</v>
      </c>
      <c r="K10" s="23"/>
      <c r="L10" s="24" t="s">
        <v>208</v>
      </c>
    </row>
    <row r="11" customFormat="false" ht="35.05" hidden="false" customHeight="false" outlineLevel="0" collapsed="false">
      <c r="A11" s="9" t="s">
        <v>117</v>
      </c>
      <c r="B11" s="20" t="s">
        <v>357</v>
      </c>
      <c r="C11" s="19" t="s">
        <v>358</v>
      </c>
      <c r="D11" s="20" t="s">
        <v>359</v>
      </c>
      <c r="E11" s="20" t="s">
        <v>360</v>
      </c>
      <c r="F11" s="20" t="s">
        <v>361</v>
      </c>
      <c r="G11" s="9" t="s">
        <v>204</v>
      </c>
      <c r="H11" s="9" t="s">
        <v>205</v>
      </c>
      <c r="I11" s="20" t="s">
        <v>362</v>
      </c>
      <c r="J11" s="20" t="s">
        <v>363</v>
      </c>
      <c r="K11" s="23"/>
      <c r="L11" s="24" t="s">
        <v>208</v>
      </c>
    </row>
    <row r="12" customFormat="false" ht="46.25" hidden="false" customHeight="false" outlineLevel="0" collapsed="false">
      <c r="A12" s="9" t="s">
        <v>121</v>
      </c>
      <c r="B12" s="20" t="s">
        <v>364</v>
      </c>
      <c r="C12" s="19" t="s">
        <v>365</v>
      </c>
      <c r="D12" s="20" t="s">
        <v>366</v>
      </c>
      <c r="E12" s="20" t="s">
        <v>367</v>
      </c>
      <c r="F12" s="20" t="s">
        <v>368</v>
      </c>
      <c r="G12" s="9" t="s">
        <v>204</v>
      </c>
      <c r="H12" s="9" t="s">
        <v>205</v>
      </c>
      <c r="I12" s="20" t="s">
        <v>369</v>
      </c>
      <c r="J12" s="20" t="s">
        <v>370</v>
      </c>
      <c r="K12" s="23"/>
      <c r="L12" s="24" t="s">
        <v>208</v>
      </c>
    </row>
    <row r="13" customFormat="false" ht="46.25" hidden="false" customHeight="false" outlineLevel="0" collapsed="false">
      <c r="A13" s="9" t="s">
        <v>125</v>
      </c>
      <c r="B13" s="20" t="s">
        <v>167</v>
      </c>
      <c r="C13" s="19" t="s">
        <v>371</v>
      </c>
      <c r="D13" s="20" t="s">
        <v>372</v>
      </c>
      <c r="E13" s="20" t="s">
        <v>373</v>
      </c>
      <c r="F13" s="20" t="s">
        <v>374</v>
      </c>
      <c r="G13" s="9" t="s">
        <v>234</v>
      </c>
      <c r="H13" s="9" t="s">
        <v>205</v>
      </c>
      <c r="I13" s="20" t="s">
        <v>375</v>
      </c>
      <c r="J13" s="20" t="s">
        <v>376</v>
      </c>
      <c r="K13" s="23"/>
      <c r="L13" s="24" t="s">
        <v>208</v>
      </c>
    </row>
    <row r="14" customFormat="false" ht="15" hidden="false" customHeight="false" outlineLevel="0" collapsed="false">
      <c r="A14" s="22" t="s">
        <v>377</v>
      </c>
      <c r="B14" s="22"/>
      <c r="C14" s="22"/>
      <c r="D14" s="22"/>
      <c r="E14" s="22"/>
      <c r="F14" s="22"/>
      <c r="G14" s="22"/>
      <c r="H14" s="22"/>
      <c r="I14" s="22"/>
      <c r="J14" s="22"/>
      <c r="K14" s="22"/>
      <c r="L14" s="22"/>
    </row>
    <row r="15" customFormat="false" ht="46.25" hidden="false" customHeight="false" outlineLevel="0" collapsed="false">
      <c r="A15" s="9" t="s">
        <v>378</v>
      </c>
      <c r="B15" s="20" t="s">
        <v>364</v>
      </c>
      <c r="C15" s="19" t="s">
        <v>379</v>
      </c>
      <c r="D15" s="20" t="s">
        <v>380</v>
      </c>
      <c r="E15" s="20" t="s">
        <v>381</v>
      </c>
      <c r="F15" s="20" t="s">
        <v>241</v>
      </c>
      <c r="G15" s="9" t="s">
        <v>234</v>
      </c>
      <c r="H15" s="9" t="s">
        <v>227</v>
      </c>
      <c r="I15" s="20" t="s">
        <v>382</v>
      </c>
      <c r="J15" s="20" t="s">
        <v>383</v>
      </c>
      <c r="K15" s="23"/>
      <c r="L15" s="24" t="s">
        <v>208</v>
      </c>
    </row>
    <row r="16" customFormat="false" ht="23.85" hidden="false" customHeight="false" outlineLevel="0" collapsed="false">
      <c r="A16" s="9" t="s">
        <v>384</v>
      </c>
      <c r="B16" s="20" t="s">
        <v>364</v>
      </c>
      <c r="C16" s="19" t="s">
        <v>385</v>
      </c>
      <c r="D16" s="20" t="s">
        <v>386</v>
      </c>
      <c r="E16" s="20" t="s">
        <v>387</v>
      </c>
      <c r="F16" s="20" t="s">
        <v>241</v>
      </c>
      <c r="G16" s="9" t="s">
        <v>234</v>
      </c>
      <c r="H16" s="9" t="s">
        <v>227</v>
      </c>
      <c r="I16" s="20" t="s">
        <v>388</v>
      </c>
      <c r="J16" s="20" t="s">
        <v>389</v>
      </c>
      <c r="K16" s="23"/>
      <c r="L16" s="24" t="s">
        <v>208</v>
      </c>
    </row>
    <row r="17" customFormat="false" ht="23.85" hidden="false" customHeight="false" outlineLevel="0" collapsed="false">
      <c r="A17" s="9" t="s">
        <v>390</v>
      </c>
      <c r="B17" s="20" t="s">
        <v>391</v>
      </c>
      <c r="C17" s="19" t="s">
        <v>392</v>
      </c>
      <c r="D17" s="20" t="s">
        <v>393</v>
      </c>
      <c r="E17" s="20" t="s">
        <v>394</v>
      </c>
      <c r="F17" s="20" t="s">
        <v>395</v>
      </c>
      <c r="G17" s="9" t="s">
        <v>234</v>
      </c>
      <c r="H17" s="9" t="s">
        <v>205</v>
      </c>
      <c r="I17" s="20" t="s">
        <v>396</v>
      </c>
      <c r="J17" s="20" t="s">
        <v>397</v>
      </c>
      <c r="K17" s="23"/>
      <c r="L17" s="24" t="s">
        <v>208</v>
      </c>
    </row>
    <row r="18" customFormat="false" ht="35.05" hidden="false" customHeight="false" outlineLevel="0" collapsed="false">
      <c r="A18" s="9" t="s">
        <v>398</v>
      </c>
      <c r="B18" s="20" t="s">
        <v>399</v>
      </c>
      <c r="C18" s="19" t="s">
        <v>400</v>
      </c>
      <c r="D18" s="20" t="s">
        <v>401</v>
      </c>
      <c r="E18" s="20" t="s">
        <v>402</v>
      </c>
      <c r="F18" s="20" t="s">
        <v>241</v>
      </c>
      <c r="G18" s="9" t="s">
        <v>234</v>
      </c>
      <c r="H18" s="9" t="s">
        <v>205</v>
      </c>
      <c r="I18" s="20" t="s">
        <v>403</v>
      </c>
      <c r="J18" s="20" t="s">
        <v>404</v>
      </c>
      <c r="K18" s="23"/>
      <c r="L18" s="24" t="s">
        <v>208</v>
      </c>
    </row>
    <row r="19" customFormat="false" ht="35.05" hidden="false" customHeight="false" outlineLevel="0" collapsed="false">
      <c r="A19" s="9" t="s">
        <v>405</v>
      </c>
      <c r="B19" s="20" t="s">
        <v>251</v>
      </c>
      <c r="C19" s="19" t="s">
        <v>406</v>
      </c>
      <c r="D19" s="20" t="s">
        <v>407</v>
      </c>
      <c r="E19" s="20" t="s">
        <v>408</v>
      </c>
      <c r="F19" s="20" t="s">
        <v>409</v>
      </c>
      <c r="G19" s="9" t="s">
        <v>410</v>
      </c>
      <c r="H19" s="9" t="s">
        <v>227</v>
      </c>
      <c r="I19" s="20" t="s">
        <v>411</v>
      </c>
      <c r="J19" s="20" t="s">
        <v>412</v>
      </c>
      <c r="K19" s="23"/>
      <c r="L19" s="24" t="s">
        <v>208</v>
      </c>
    </row>
    <row r="20" customFormat="false" ht="35.05" hidden="false" customHeight="false" outlineLevel="0" collapsed="false">
      <c r="A20" s="9" t="s">
        <v>413</v>
      </c>
      <c r="B20" s="20" t="s">
        <v>414</v>
      </c>
      <c r="C20" s="19" t="s">
        <v>415</v>
      </c>
      <c r="D20" s="20" t="s">
        <v>416</v>
      </c>
      <c r="E20" s="20" t="s">
        <v>417</v>
      </c>
      <c r="F20" s="20" t="s">
        <v>418</v>
      </c>
      <c r="G20" s="9" t="s">
        <v>410</v>
      </c>
      <c r="H20" s="9" t="s">
        <v>205</v>
      </c>
      <c r="I20" s="20" t="s">
        <v>163</v>
      </c>
      <c r="J20" s="20" t="s">
        <v>419</v>
      </c>
      <c r="K20" s="23"/>
      <c r="L20" s="24" t="s">
        <v>208</v>
      </c>
    </row>
    <row r="21" customFormat="false" ht="23.85" hidden="false" customHeight="false" outlineLevel="0" collapsed="false">
      <c r="A21" s="9" t="s">
        <v>420</v>
      </c>
      <c r="B21" s="20" t="s">
        <v>421</v>
      </c>
      <c r="C21" s="19" t="s">
        <v>422</v>
      </c>
      <c r="D21" s="20" t="s">
        <v>423</v>
      </c>
      <c r="E21" s="20" t="s">
        <v>424</v>
      </c>
      <c r="F21" s="20" t="s">
        <v>163</v>
      </c>
      <c r="G21" s="9" t="s">
        <v>204</v>
      </c>
      <c r="H21" s="9" t="s">
        <v>205</v>
      </c>
      <c r="I21" s="20" t="s">
        <v>163</v>
      </c>
      <c r="J21" s="20" t="s">
        <v>425</v>
      </c>
      <c r="K21" s="23"/>
      <c r="L21" s="24" t="s">
        <v>208</v>
      </c>
    </row>
  </sheetData>
  <autoFilter ref="A4:L21"/>
  <mergeCells count="3">
    <mergeCell ref="A2:L2"/>
    <mergeCell ref="A5:L5"/>
    <mergeCell ref="A14:L14"/>
  </mergeCells>
  <conditionalFormatting sqref="G5:G21">
    <cfRule type="cellIs" priority="2" operator="equal" aboveAverage="0" equalAverage="0" bottom="0" percent="0" rank="0" text="" dxfId="18">
      <formula>"Must"</formula>
    </cfRule>
    <cfRule type="cellIs" priority="3" operator="equal" aboveAverage="0" equalAverage="0" bottom="0" percent="0" rank="0" text="" dxfId="19">
      <formula>"Should"</formula>
    </cfRule>
    <cfRule type="cellIs" priority="4" operator="equal" aboveAverage="0" equalAverage="0" bottom="0" percent="0" rank="0" text="" dxfId="20">
      <formula>"Nice"</formula>
    </cfRule>
  </conditionalFormatting>
  <conditionalFormatting sqref="H5:H21">
    <cfRule type="cellIs" priority="5" operator="equal" aboveAverage="0" equalAverage="0" bottom="0" percent="0" rank="0" text="" dxfId="21">
      <formula>"High"</formula>
    </cfRule>
    <cfRule type="cellIs" priority="6" operator="equal" aboveAverage="0" equalAverage="0" bottom="0" percent="0" rank="0" text="" dxfId="22">
      <formula>"Medium"</formula>
    </cfRule>
    <cfRule type="cellIs" priority="7" operator="equal" aboveAverage="0" equalAverage="0" bottom="0" percent="0" rank="0" text="" dxfId="23">
      <formula>"Low"</formula>
    </cfRule>
  </conditionalFormatting>
  <conditionalFormatting sqref="L5:L21">
    <cfRule type="cellIs" priority="8" operator="equal" aboveAverage="0" equalAverage="0" bottom="0" percent="0" rank="0" text="" dxfId="24">
      <formula>"Done"</formula>
    </cfRule>
    <cfRule type="cellIs" priority="9" operator="equal" aboveAverage="0" equalAverage="0" bottom="0" percent="0" rank="0" text="" dxfId="21">
      <formula>"Blocked"</formula>
    </cfRule>
    <cfRule type="cellIs" priority="10" operator="equal" aboveAverage="0" equalAverage="0" bottom="0" percent="0" rank="0" text="" dxfId="25">
      <formula>"In progress"</formula>
    </cfRule>
  </conditionalFormatting>
  <conditionalFormatting sqref="F5:F21">
    <cfRule type="expression" priority="11" aboveAverage="0" equalAverage="0" bottom="0" percent="0" rank="0" text="" dxfId="26">
      <formula>LEFT(F5,7)="PROBLEM"</formula>
    </cfRule>
    <cfRule type="expression" priority="12" aboveAverage="0" equalAverage="0" bottom="0" percent="0" rank="0" text="" dxfId="27">
      <formula>LEFT(F5,2)="OK"</formula>
    </cfRule>
  </conditionalFormatting>
  <dataValidations count="1">
    <dataValidation allowBlank="true" errorStyle="stop" operator="between" showDropDown="false" showErrorMessage="false" showInputMessage="false" sqref="L5:L21" type="list">
      <formula1>"Not started,In progress,Done,Blocked,Not needed"</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F8F00"/>
    <pageSetUpPr fitToPage="false"/>
  </sheetPr>
  <dimension ref="A1:L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6"/>
    <col collapsed="false" customWidth="true" hidden="false" outlineLevel="0" max="2" min="2" style="0" width="14"/>
    <col collapsed="false" customWidth="true" hidden="false" outlineLevel="0" max="3" min="3" style="0" width="30"/>
    <col collapsed="false" customWidth="true" hidden="false" outlineLevel="0" max="4" min="4" style="0" width="44"/>
    <col collapsed="false" customWidth="true" hidden="false" outlineLevel="0" max="5" min="5" style="0" width="50"/>
    <col collapsed="false" customWidth="true" hidden="false" outlineLevel="0" max="6" min="6" style="0" width="30"/>
    <col collapsed="false" customWidth="true" hidden="false" outlineLevel="0" max="8" min="7" style="0" width="9"/>
    <col collapsed="false" customWidth="true" hidden="false" outlineLevel="0" max="9" min="9" style="0" width="40"/>
    <col collapsed="false" customWidth="true" hidden="false" outlineLevel="0" max="10" min="10" style="0" width="26"/>
    <col collapsed="false" customWidth="true" hidden="false" outlineLevel="0" max="12" min="11" style="0" width="12"/>
  </cols>
  <sheetData>
    <row r="1" customFormat="false" ht="17.35" hidden="false" customHeight="false" outlineLevel="0" collapsed="false">
      <c r="A1" s="17" t="s">
        <v>426</v>
      </c>
    </row>
    <row r="2" customFormat="false" ht="30" hidden="false" customHeight="true" outlineLevel="0" collapsed="false">
      <c r="A2" s="21" t="s">
        <v>427</v>
      </c>
      <c r="B2" s="21"/>
      <c r="C2" s="21"/>
      <c r="D2" s="21"/>
      <c r="E2" s="21"/>
      <c r="F2" s="21"/>
      <c r="G2" s="21"/>
      <c r="H2" s="21"/>
      <c r="I2" s="21"/>
      <c r="J2" s="21"/>
      <c r="K2" s="21"/>
      <c r="L2" s="21"/>
    </row>
    <row r="4" customFormat="false" ht="30" hidden="false" customHeight="true" outlineLevel="0" collapsed="false">
      <c r="A4" s="7" t="s">
        <v>187</v>
      </c>
      <c r="B4" s="7" t="s">
        <v>188</v>
      </c>
      <c r="C4" s="7" t="s">
        <v>189</v>
      </c>
      <c r="D4" s="7" t="s">
        <v>74</v>
      </c>
      <c r="E4" s="7" t="s">
        <v>190</v>
      </c>
      <c r="F4" s="7" t="s">
        <v>191</v>
      </c>
      <c r="G4" s="7" t="s">
        <v>192</v>
      </c>
      <c r="H4" s="7" t="s">
        <v>193</v>
      </c>
      <c r="I4" s="7" t="s">
        <v>194</v>
      </c>
      <c r="J4" s="7" t="s">
        <v>195</v>
      </c>
      <c r="K4" s="7" t="s">
        <v>196</v>
      </c>
      <c r="L4" s="7" t="s">
        <v>197</v>
      </c>
    </row>
    <row r="5" customFormat="false" ht="15" hidden="false" customHeight="false" outlineLevel="0" collapsed="false">
      <c r="A5" s="22" t="s">
        <v>428</v>
      </c>
      <c r="B5" s="22"/>
      <c r="C5" s="22"/>
      <c r="D5" s="22"/>
      <c r="E5" s="22"/>
      <c r="F5" s="22"/>
      <c r="G5" s="22"/>
      <c r="H5" s="22"/>
      <c r="I5" s="22"/>
      <c r="J5" s="22"/>
      <c r="K5" s="22"/>
      <c r="L5" s="22"/>
    </row>
    <row r="6" customFormat="false" ht="46.25" hidden="false" customHeight="false" outlineLevel="0" collapsed="false">
      <c r="A6" s="9" t="s">
        <v>429</v>
      </c>
      <c r="B6" s="20" t="s">
        <v>430</v>
      </c>
      <c r="C6" s="19" t="s">
        <v>431</v>
      </c>
      <c r="D6" s="20" t="s">
        <v>432</v>
      </c>
      <c r="E6" s="20" t="s">
        <v>433</v>
      </c>
      <c r="F6" s="20" t="s">
        <v>434</v>
      </c>
      <c r="G6" s="9" t="s">
        <v>204</v>
      </c>
      <c r="H6" s="9" t="s">
        <v>227</v>
      </c>
      <c r="I6" s="20" t="s">
        <v>435</v>
      </c>
      <c r="J6" s="20" t="s">
        <v>436</v>
      </c>
      <c r="K6" s="23"/>
      <c r="L6" s="24" t="s">
        <v>208</v>
      </c>
    </row>
    <row r="7" customFormat="false" ht="46.25" hidden="false" customHeight="false" outlineLevel="0" collapsed="false">
      <c r="A7" s="9" t="s">
        <v>437</v>
      </c>
      <c r="B7" s="20" t="s">
        <v>438</v>
      </c>
      <c r="C7" s="19" t="s">
        <v>439</v>
      </c>
      <c r="D7" s="20" t="s">
        <v>440</v>
      </c>
      <c r="E7" s="20" t="s">
        <v>441</v>
      </c>
      <c r="F7" s="20" t="s">
        <v>442</v>
      </c>
      <c r="G7" s="9" t="s">
        <v>204</v>
      </c>
      <c r="H7" s="9" t="s">
        <v>205</v>
      </c>
      <c r="I7" s="20" t="s">
        <v>443</v>
      </c>
      <c r="J7" s="20" t="s">
        <v>444</v>
      </c>
      <c r="K7" s="23"/>
      <c r="L7" s="24" t="s">
        <v>208</v>
      </c>
    </row>
    <row r="8" customFormat="false" ht="35.05" hidden="false" customHeight="false" outlineLevel="0" collapsed="false">
      <c r="A8" s="9" t="s">
        <v>445</v>
      </c>
      <c r="B8" s="20" t="s">
        <v>446</v>
      </c>
      <c r="C8" s="19" t="s">
        <v>447</v>
      </c>
      <c r="D8" s="20" t="s">
        <v>448</v>
      </c>
      <c r="E8" s="20" t="s">
        <v>449</v>
      </c>
      <c r="F8" s="20" t="s">
        <v>241</v>
      </c>
      <c r="G8" s="9" t="s">
        <v>204</v>
      </c>
      <c r="H8" s="9" t="s">
        <v>205</v>
      </c>
      <c r="I8" s="20" t="s">
        <v>450</v>
      </c>
      <c r="J8" s="20" t="s">
        <v>451</v>
      </c>
      <c r="K8" s="23"/>
      <c r="L8" s="24" t="s">
        <v>208</v>
      </c>
    </row>
    <row r="9" customFormat="false" ht="35.05" hidden="false" customHeight="false" outlineLevel="0" collapsed="false">
      <c r="A9" s="9" t="s">
        <v>452</v>
      </c>
      <c r="B9" s="20" t="s">
        <v>453</v>
      </c>
      <c r="C9" s="19" t="s">
        <v>454</v>
      </c>
      <c r="D9" s="20" t="s">
        <v>455</v>
      </c>
      <c r="E9" s="20" t="s">
        <v>456</v>
      </c>
      <c r="F9" s="20" t="s">
        <v>457</v>
      </c>
      <c r="G9" s="9" t="s">
        <v>204</v>
      </c>
      <c r="H9" s="9" t="s">
        <v>205</v>
      </c>
      <c r="I9" s="20" t="s">
        <v>163</v>
      </c>
      <c r="J9" s="20" t="s">
        <v>458</v>
      </c>
      <c r="K9" s="23"/>
      <c r="L9" s="24" t="s">
        <v>208</v>
      </c>
    </row>
    <row r="10" customFormat="false" ht="23.85" hidden="false" customHeight="false" outlineLevel="0" collapsed="false">
      <c r="A10" s="9" t="s">
        <v>459</v>
      </c>
      <c r="B10" s="20" t="s">
        <v>460</v>
      </c>
      <c r="C10" s="19" t="s">
        <v>461</v>
      </c>
      <c r="D10" s="20" t="s">
        <v>462</v>
      </c>
      <c r="E10" s="20" t="s">
        <v>463</v>
      </c>
      <c r="F10" s="20" t="s">
        <v>464</v>
      </c>
      <c r="G10" s="9" t="s">
        <v>234</v>
      </c>
      <c r="H10" s="9" t="s">
        <v>205</v>
      </c>
      <c r="I10" s="20" t="s">
        <v>163</v>
      </c>
      <c r="J10" s="20" t="s">
        <v>465</v>
      </c>
      <c r="K10" s="23"/>
      <c r="L10" s="24" t="s">
        <v>208</v>
      </c>
    </row>
    <row r="11" customFormat="false" ht="15" hidden="false" customHeight="false" outlineLevel="0" collapsed="false">
      <c r="A11" s="22" t="s">
        <v>466</v>
      </c>
      <c r="B11" s="22"/>
      <c r="C11" s="22"/>
      <c r="D11" s="22"/>
      <c r="E11" s="22"/>
      <c r="F11" s="22"/>
      <c r="G11" s="22"/>
      <c r="H11" s="22"/>
      <c r="I11" s="22"/>
      <c r="J11" s="22"/>
      <c r="K11" s="22"/>
      <c r="L11" s="22"/>
    </row>
    <row r="12" customFormat="false" ht="35.05" hidden="false" customHeight="false" outlineLevel="0" collapsed="false">
      <c r="A12" s="9" t="s">
        <v>467</v>
      </c>
      <c r="B12" s="20" t="s">
        <v>468</v>
      </c>
      <c r="C12" s="19" t="s">
        <v>469</v>
      </c>
      <c r="D12" s="20" t="s">
        <v>470</v>
      </c>
      <c r="E12" s="20" t="s">
        <v>471</v>
      </c>
      <c r="F12" s="20" t="s">
        <v>472</v>
      </c>
      <c r="G12" s="9" t="s">
        <v>234</v>
      </c>
      <c r="H12" s="9" t="s">
        <v>205</v>
      </c>
      <c r="I12" s="20" t="s">
        <v>473</v>
      </c>
      <c r="J12" s="20" t="s">
        <v>474</v>
      </c>
      <c r="K12" s="23"/>
      <c r="L12" s="24" t="s">
        <v>208</v>
      </c>
    </row>
    <row r="13" customFormat="false" ht="23.85" hidden="false" customHeight="false" outlineLevel="0" collapsed="false">
      <c r="A13" s="9" t="s">
        <v>475</v>
      </c>
      <c r="B13" s="20" t="s">
        <v>468</v>
      </c>
      <c r="C13" s="19" t="s">
        <v>476</v>
      </c>
      <c r="D13" s="20" t="s">
        <v>477</v>
      </c>
      <c r="E13" s="20" t="s">
        <v>478</v>
      </c>
      <c r="F13" s="20" t="s">
        <v>241</v>
      </c>
      <c r="G13" s="9" t="s">
        <v>410</v>
      </c>
      <c r="H13" s="9" t="s">
        <v>205</v>
      </c>
      <c r="I13" s="20" t="s">
        <v>163</v>
      </c>
      <c r="J13" s="20" t="s">
        <v>479</v>
      </c>
      <c r="K13" s="23"/>
      <c r="L13" s="24" t="s">
        <v>208</v>
      </c>
    </row>
    <row r="14" customFormat="false" ht="46.25" hidden="false" customHeight="false" outlineLevel="0" collapsed="false">
      <c r="A14" s="9" t="s">
        <v>480</v>
      </c>
      <c r="B14" s="20" t="s">
        <v>481</v>
      </c>
      <c r="C14" s="19" t="s">
        <v>482</v>
      </c>
      <c r="D14" s="20" t="s">
        <v>483</v>
      </c>
      <c r="E14" s="20" t="s">
        <v>484</v>
      </c>
      <c r="F14" s="20" t="s">
        <v>241</v>
      </c>
      <c r="G14" s="9" t="s">
        <v>410</v>
      </c>
      <c r="H14" s="9" t="s">
        <v>205</v>
      </c>
      <c r="I14" s="20" t="s">
        <v>163</v>
      </c>
      <c r="J14" s="20" t="s">
        <v>485</v>
      </c>
      <c r="K14" s="23"/>
      <c r="L14" s="24" t="s">
        <v>208</v>
      </c>
    </row>
    <row r="15" customFormat="false" ht="46.25" hidden="false" customHeight="false" outlineLevel="0" collapsed="false">
      <c r="A15" s="9" t="s">
        <v>486</v>
      </c>
      <c r="B15" s="20" t="s">
        <v>487</v>
      </c>
      <c r="C15" s="19" t="s">
        <v>488</v>
      </c>
      <c r="D15" s="20" t="s">
        <v>489</v>
      </c>
      <c r="E15" s="20" t="s">
        <v>490</v>
      </c>
      <c r="F15" s="20" t="s">
        <v>491</v>
      </c>
      <c r="G15" s="9" t="s">
        <v>204</v>
      </c>
      <c r="H15" s="9" t="s">
        <v>205</v>
      </c>
      <c r="I15" s="20" t="s">
        <v>163</v>
      </c>
      <c r="J15" s="20" t="s">
        <v>492</v>
      </c>
      <c r="K15" s="23"/>
      <c r="L15" s="24" t="s">
        <v>208</v>
      </c>
    </row>
    <row r="16" customFormat="false" ht="23.85" hidden="false" customHeight="false" outlineLevel="0" collapsed="false">
      <c r="A16" s="9" t="s">
        <v>493</v>
      </c>
      <c r="B16" s="20" t="s">
        <v>494</v>
      </c>
      <c r="C16" s="19" t="s">
        <v>495</v>
      </c>
      <c r="D16" s="20" t="s">
        <v>496</v>
      </c>
      <c r="E16" s="20" t="s">
        <v>497</v>
      </c>
      <c r="F16" s="20" t="s">
        <v>241</v>
      </c>
      <c r="G16" s="9" t="s">
        <v>410</v>
      </c>
      <c r="H16" s="9" t="s">
        <v>205</v>
      </c>
      <c r="I16" s="20" t="s">
        <v>163</v>
      </c>
      <c r="J16" s="20" t="s">
        <v>498</v>
      </c>
      <c r="K16" s="23"/>
      <c r="L16" s="24" t="s">
        <v>208</v>
      </c>
    </row>
  </sheetData>
  <autoFilter ref="A4:L16"/>
  <mergeCells count="3">
    <mergeCell ref="A2:L2"/>
    <mergeCell ref="A5:L5"/>
    <mergeCell ref="A11:L11"/>
  </mergeCells>
  <conditionalFormatting sqref="G5:G16">
    <cfRule type="cellIs" priority="2" operator="equal" aboveAverage="0" equalAverage="0" bottom="0" percent="0" rank="0" text="" dxfId="18">
      <formula>"Must"</formula>
    </cfRule>
    <cfRule type="cellIs" priority="3" operator="equal" aboveAverage="0" equalAverage="0" bottom="0" percent="0" rank="0" text="" dxfId="19">
      <formula>"Should"</formula>
    </cfRule>
    <cfRule type="cellIs" priority="4" operator="equal" aboveAverage="0" equalAverage="0" bottom="0" percent="0" rank="0" text="" dxfId="20">
      <formula>"Nice"</formula>
    </cfRule>
  </conditionalFormatting>
  <conditionalFormatting sqref="H5:H16">
    <cfRule type="cellIs" priority="5" operator="equal" aboveAverage="0" equalAverage="0" bottom="0" percent="0" rank="0" text="" dxfId="21">
      <formula>"High"</formula>
    </cfRule>
    <cfRule type="cellIs" priority="6" operator="equal" aboveAverage="0" equalAverage="0" bottom="0" percent="0" rank="0" text="" dxfId="22">
      <formula>"Medium"</formula>
    </cfRule>
    <cfRule type="cellIs" priority="7" operator="equal" aboveAverage="0" equalAverage="0" bottom="0" percent="0" rank="0" text="" dxfId="23">
      <formula>"Low"</formula>
    </cfRule>
  </conditionalFormatting>
  <conditionalFormatting sqref="L5:L16">
    <cfRule type="cellIs" priority="8" operator="equal" aboveAverage="0" equalAverage="0" bottom="0" percent="0" rank="0" text="" dxfId="24">
      <formula>"Done"</formula>
    </cfRule>
    <cfRule type="cellIs" priority="9" operator="equal" aboveAverage="0" equalAverage="0" bottom="0" percent="0" rank="0" text="" dxfId="21">
      <formula>"Blocked"</formula>
    </cfRule>
    <cfRule type="cellIs" priority="10" operator="equal" aboveAverage="0" equalAverage="0" bottom="0" percent="0" rank="0" text="" dxfId="25">
      <formula>"In progress"</formula>
    </cfRule>
  </conditionalFormatting>
  <conditionalFormatting sqref="F5:F16">
    <cfRule type="expression" priority="11" aboveAverage="0" equalAverage="0" bottom="0" percent="0" rank="0" text="" dxfId="26">
      <formula>LEFT(F5,7)="PROBLEM"</formula>
    </cfRule>
    <cfRule type="expression" priority="12" aboveAverage="0" equalAverage="0" bottom="0" percent="0" rank="0" text="" dxfId="27">
      <formula>LEFT(F5,2)="OK"</formula>
    </cfRule>
  </conditionalFormatting>
  <dataValidations count="1">
    <dataValidation allowBlank="true" errorStyle="stop" operator="between" showDropDown="false" showErrorMessage="false" showInputMessage="false" sqref="L5:L16" type="list">
      <formula1>"Not started,In progress,Done,Blocked,Not needed"</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48235"/>
    <pageSetUpPr fitToPage="false"/>
  </sheetPr>
  <dimension ref="A1:L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6"/>
    <col collapsed="false" customWidth="true" hidden="false" outlineLevel="0" max="2" min="2" style="0" width="14"/>
    <col collapsed="false" customWidth="true" hidden="false" outlineLevel="0" max="3" min="3" style="0" width="30"/>
    <col collapsed="false" customWidth="true" hidden="false" outlineLevel="0" max="4" min="4" style="0" width="44"/>
    <col collapsed="false" customWidth="true" hidden="false" outlineLevel="0" max="5" min="5" style="0" width="50"/>
    <col collapsed="false" customWidth="true" hidden="false" outlineLevel="0" max="6" min="6" style="0" width="30"/>
    <col collapsed="false" customWidth="true" hidden="false" outlineLevel="0" max="8" min="7" style="0" width="9"/>
    <col collapsed="false" customWidth="true" hidden="false" outlineLevel="0" max="9" min="9" style="0" width="40"/>
    <col collapsed="false" customWidth="true" hidden="false" outlineLevel="0" max="10" min="10" style="0" width="26"/>
    <col collapsed="false" customWidth="true" hidden="false" outlineLevel="0" max="12" min="11" style="0" width="12"/>
  </cols>
  <sheetData>
    <row r="1" customFormat="false" ht="17.35" hidden="false" customHeight="false" outlineLevel="0" collapsed="false">
      <c r="A1" s="17" t="s">
        <v>499</v>
      </c>
    </row>
    <row r="2" customFormat="false" ht="30" hidden="false" customHeight="true" outlineLevel="0" collapsed="false">
      <c r="A2" s="21" t="s">
        <v>500</v>
      </c>
      <c r="B2" s="21"/>
      <c r="C2" s="21"/>
      <c r="D2" s="21"/>
      <c r="E2" s="21"/>
      <c r="F2" s="21"/>
      <c r="G2" s="21"/>
      <c r="H2" s="21"/>
      <c r="I2" s="21"/>
      <c r="J2" s="21"/>
      <c r="K2" s="21"/>
      <c r="L2" s="21"/>
    </row>
    <row r="4" customFormat="false" ht="30" hidden="false" customHeight="true" outlineLevel="0" collapsed="false">
      <c r="A4" s="7" t="s">
        <v>187</v>
      </c>
      <c r="B4" s="7" t="s">
        <v>188</v>
      </c>
      <c r="C4" s="7" t="s">
        <v>189</v>
      </c>
      <c r="D4" s="7" t="s">
        <v>74</v>
      </c>
      <c r="E4" s="7" t="s">
        <v>190</v>
      </c>
      <c r="F4" s="7" t="s">
        <v>191</v>
      </c>
      <c r="G4" s="7" t="s">
        <v>192</v>
      </c>
      <c r="H4" s="7" t="s">
        <v>193</v>
      </c>
      <c r="I4" s="7" t="s">
        <v>194</v>
      </c>
      <c r="J4" s="7" t="s">
        <v>195</v>
      </c>
      <c r="K4" s="7" t="s">
        <v>196</v>
      </c>
      <c r="L4" s="7" t="s">
        <v>197</v>
      </c>
    </row>
    <row r="5" customFormat="false" ht="15" hidden="false" customHeight="false" outlineLevel="0" collapsed="false">
      <c r="A5" s="22" t="s">
        <v>501</v>
      </c>
      <c r="B5" s="22"/>
      <c r="C5" s="22"/>
      <c r="D5" s="22"/>
      <c r="E5" s="22"/>
      <c r="F5" s="22"/>
      <c r="G5" s="22"/>
      <c r="H5" s="22"/>
      <c r="I5" s="22"/>
      <c r="J5" s="22"/>
      <c r="K5" s="22"/>
      <c r="L5" s="22"/>
    </row>
    <row r="6" customFormat="false" ht="46.25" hidden="false" customHeight="false" outlineLevel="0" collapsed="false">
      <c r="A6" s="9" t="s">
        <v>502</v>
      </c>
      <c r="B6" s="20" t="s">
        <v>503</v>
      </c>
      <c r="C6" s="19" t="s">
        <v>504</v>
      </c>
      <c r="D6" s="20" t="s">
        <v>505</v>
      </c>
      <c r="E6" s="20" t="s">
        <v>506</v>
      </c>
      <c r="F6" s="20" t="s">
        <v>507</v>
      </c>
      <c r="G6" s="9" t="s">
        <v>204</v>
      </c>
      <c r="H6" s="9" t="s">
        <v>205</v>
      </c>
      <c r="I6" s="20" t="s">
        <v>508</v>
      </c>
      <c r="J6" s="20" t="s">
        <v>509</v>
      </c>
      <c r="K6" s="23"/>
      <c r="L6" s="24" t="s">
        <v>208</v>
      </c>
    </row>
    <row r="7" customFormat="false" ht="35.05" hidden="false" customHeight="false" outlineLevel="0" collapsed="false">
      <c r="A7" s="9" t="s">
        <v>510</v>
      </c>
      <c r="B7" s="20" t="s">
        <v>511</v>
      </c>
      <c r="C7" s="19" t="s">
        <v>512</v>
      </c>
      <c r="D7" s="20" t="s">
        <v>513</v>
      </c>
      <c r="E7" s="20" t="s">
        <v>514</v>
      </c>
      <c r="F7" s="20" t="s">
        <v>515</v>
      </c>
      <c r="G7" s="9" t="s">
        <v>204</v>
      </c>
      <c r="H7" s="9" t="s">
        <v>227</v>
      </c>
      <c r="I7" s="20" t="s">
        <v>516</v>
      </c>
      <c r="J7" s="20" t="s">
        <v>517</v>
      </c>
      <c r="K7" s="23"/>
      <c r="L7" s="24" t="s">
        <v>208</v>
      </c>
    </row>
    <row r="8" customFormat="false" ht="35.05" hidden="false" customHeight="false" outlineLevel="0" collapsed="false">
      <c r="A8" s="9" t="s">
        <v>518</v>
      </c>
      <c r="B8" s="20" t="s">
        <v>519</v>
      </c>
      <c r="C8" s="19" t="s">
        <v>520</v>
      </c>
      <c r="D8" s="20" t="s">
        <v>521</v>
      </c>
      <c r="E8" s="20" t="s">
        <v>522</v>
      </c>
      <c r="F8" s="20" t="s">
        <v>523</v>
      </c>
      <c r="G8" s="9" t="s">
        <v>204</v>
      </c>
      <c r="H8" s="9" t="s">
        <v>227</v>
      </c>
      <c r="I8" s="20" t="s">
        <v>524</v>
      </c>
      <c r="J8" s="20" t="s">
        <v>525</v>
      </c>
      <c r="K8" s="23"/>
      <c r="L8" s="24" t="s">
        <v>208</v>
      </c>
    </row>
    <row r="9" customFormat="false" ht="35.05" hidden="false" customHeight="false" outlineLevel="0" collapsed="false">
      <c r="A9" s="9" t="s">
        <v>526</v>
      </c>
      <c r="B9" s="20" t="s">
        <v>438</v>
      </c>
      <c r="C9" s="19" t="s">
        <v>527</v>
      </c>
      <c r="D9" s="20" t="s">
        <v>528</v>
      </c>
      <c r="E9" s="20" t="s">
        <v>529</v>
      </c>
      <c r="F9" s="20" t="s">
        <v>530</v>
      </c>
      <c r="G9" s="9" t="s">
        <v>204</v>
      </c>
      <c r="H9" s="9" t="s">
        <v>205</v>
      </c>
      <c r="I9" s="20" t="s">
        <v>163</v>
      </c>
      <c r="J9" s="20" t="s">
        <v>531</v>
      </c>
      <c r="K9" s="23"/>
      <c r="L9" s="24" t="s">
        <v>208</v>
      </c>
    </row>
    <row r="10" customFormat="false" ht="35.05" hidden="false" customHeight="false" outlineLevel="0" collapsed="false">
      <c r="A10" s="9" t="s">
        <v>532</v>
      </c>
      <c r="B10" s="20" t="s">
        <v>533</v>
      </c>
      <c r="C10" s="19" t="s">
        <v>534</v>
      </c>
      <c r="D10" s="20" t="s">
        <v>535</v>
      </c>
      <c r="E10" s="20" t="s">
        <v>536</v>
      </c>
      <c r="F10" s="20" t="s">
        <v>241</v>
      </c>
      <c r="G10" s="9" t="s">
        <v>234</v>
      </c>
      <c r="H10" s="9" t="s">
        <v>205</v>
      </c>
      <c r="I10" s="20" t="s">
        <v>537</v>
      </c>
      <c r="J10" s="20" t="s">
        <v>538</v>
      </c>
      <c r="K10" s="23"/>
      <c r="L10" s="24" t="s">
        <v>208</v>
      </c>
    </row>
    <row r="11" customFormat="false" ht="23.85" hidden="false" customHeight="false" outlineLevel="0" collapsed="false">
      <c r="A11" s="9" t="s">
        <v>539</v>
      </c>
      <c r="B11" s="20" t="s">
        <v>540</v>
      </c>
      <c r="C11" s="19" t="s">
        <v>541</v>
      </c>
      <c r="D11" s="20" t="s">
        <v>542</v>
      </c>
      <c r="E11" s="20" t="s">
        <v>543</v>
      </c>
      <c r="F11" s="20" t="s">
        <v>544</v>
      </c>
      <c r="G11" s="9" t="s">
        <v>204</v>
      </c>
      <c r="H11" s="9" t="s">
        <v>205</v>
      </c>
      <c r="I11" s="20" t="s">
        <v>163</v>
      </c>
      <c r="J11" s="20" t="s">
        <v>545</v>
      </c>
      <c r="K11" s="23"/>
      <c r="L11" s="24" t="s">
        <v>208</v>
      </c>
    </row>
    <row r="12" customFormat="false" ht="23.85" hidden="false" customHeight="false" outlineLevel="0" collapsed="false">
      <c r="A12" s="9" t="s">
        <v>546</v>
      </c>
      <c r="B12" s="20" t="s">
        <v>167</v>
      </c>
      <c r="C12" s="19" t="s">
        <v>547</v>
      </c>
      <c r="D12" s="20" t="s">
        <v>548</v>
      </c>
      <c r="E12" s="20" t="s">
        <v>549</v>
      </c>
      <c r="F12" s="20" t="s">
        <v>550</v>
      </c>
      <c r="G12" s="9" t="s">
        <v>234</v>
      </c>
      <c r="H12" s="9" t="s">
        <v>205</v>
      </c>
      <c r="I12" s="20" t="s">
        <v>163</v>
      </c>
      <c r="J12" s="20" t="s">
        <v>551</v>
      </c>
      <c r="K12" s="23"/>
      <c r="L12" s="24" t="s">
        <v>208</v>
      </c>
    </row>
    <row r="13" customFormat="false" ht="46.25" hidden="false" customHeight="false" outlineLevel="0" collapsed="false">
      <c r="A13" s="9" t="s">
        <v>137</v>
      </c>
      <c r="B13" s="20" t="s">
        <v>552</v>
      </c>
      <c r="C13" s="19" t="s">
        <v>553</v>
      </c>
      <c r="D13" s="20" t="s">
        <v>554</v>
      </c>
      <c r="E13" s="20" t="s">
        <v>555</v>
      </c>
      <c r="F13" s="20" t="s">
        <v>556</v>
      </c>
      <c r="G13" s="9" t="s">
        <v>234</v>
      </c>
      <c r="H13" s="9" t="s">
        <v>227</v>
      </c>
      <c r="I13" s="20" t="s">
        <v>557</v>
      </c>
      <c r="J13" s="20" t="s">
        <v>558</v>
      </c>
      <c r="K13" s="23"/>
      <c r="L13" s="24" t="s">
        <v>208</v>
      </c>
    </row>
    <row r="14" customFormat="false" ht="23.85" hidden="false" customHeight="false" outlineLevel="0" collapsed="false">
      <c r="A14" s="9" t="s">
        <v>559</v>
      </c>
      <c r="B14" s="20" t="s">
        <v>560</v>
      </c>
      <c r="C14" s="19" t="s">
        <v>561</v>
      </c>
      <c r="D14" s="20" t="s">
        <v>562</v>
      </c>
      <c r="E14" s="20" t="s">
        <v>563</v>
      </c>
      <c r="F14" s="20" t="s">
        <v>241</v>
      </c>
      <c r="G14" s="9" t="s">
        <v>410</v>
      </c>
      <c r="H14" s="9" t="s">
        <v>205</v>
      </c>
      <c r="I14" s="20" t="s">
        <v>163</v>
      </c>
      <c r="J14" s="20" t="s">
        <v>564</v>
      </c>
      <c r="K14" s="23"/>
      <c r="L14" s="24" t="s">
        <v>208</v>
      </c>
    </row>
    <row r="15" customFormat="false" ht="15" hidden="false" customHeight="false" outlineLevel="0" collapsed="false">
      <c r="A15" s="22" t="s">
        <v>565</v>
      </c>
      <c r="B15" s="22"/>
      <c r="C15" s="22"/>
      <c r="D15" s="22"/>
      <c r="E15" s="22"/>
      <c r="F15" s="22"/>
      <c r="G15" s="22"/>
      <c r="H15" s="22"/>
      <c r="I15" s="22"/>
      <c r="J15" s="22"/>
      <c r="K15" s="22"/>
      <c r="L15" s="22"/>
    </row>
    <row r="16" customFormat="false" ht="35.05" hidden="false" customHeight="false" outlineLevel="0" collapsed="false">
      <c r="A16" s="9" t="s">
        <v>133</v>
      </c>
      <c r="B16" s="20" t="s">
        <v>566</v>
      </c>
      <c r="C16" s="19" t="s">
        <v>567</v>
      </c>
      <c r="D16" s="20" t="s">
        <v>568</v>
      </c>
      <c r="E16" s="20" t="s">
        <v>569</v>
      </c>
      <c r="F16" s="20" t="s">
        <v>570</v>
      </c>
      <c r="G16" s="9" t="s">
        <v>204</v>
      </c>
      <c r="H16" s="9" t="s">
        <v>205</v>
      </c>
      <c r="I16" s="20" t="s">
        <v>571</v>
      </c>
      <c r="J16" s="20" t="s">
        <v>572</v>
      </c>
      <c r="K16" s="23"/>
      <c r="L16" s="24" t="s">
        <v>208</v>
      </c>
    </row>
    <row r="17" customFormat="false" ht="23.85" hidden="false" customHeight="false" outlineLevel="0" collapsed="false">
      <c r="A17" s="9" t="s">
        <v>573</v>
      </c>
      <c r="B17" s="20" t="s">
        <v>574</v>
      </c>
      <c r="C17" s="19" t="s">
        <v>575</v>
      </c>
      <c r="D17" s="20" t="s">
        <v>576</v>
      </c>
      <c r="E17" s="20" t="s">
        <v>577</v>
      </c>
      <c r="F17" s="20" t="s">
        <v>241</v>
      </c>
      <c r="G17" s="9" t="s">
        <v>234</v>
      </c>
      <c r="H17" s="9" t="s">
        <v>205</v>
      </c>
      <c r="I17" s="20" t="s">
        <v>163</v>
      </c>
      <c r="J17" s="20" t="s">
        <v>578</v>
      </c>
      <c r="K17" s="23"/>
      <c r="L17" s="24" t="s">
        <v>208</v>
      </c>
    </row>
  </sheetData>
  <autoFilter ref="A4:L17"/>
  <mergeCells count="3">
    <mergeCell ref="A2:L2"/>
    <mergeCell ref="A5:L5"/>
    <mergeCell ref="A15:L15"/>
  </mergeCells>
  <conditionalFormatting sqref="G5:G17">
    <cfRule type="cellIs" priority="2" operator="equal" aboveAverage="0" equalAverage="0" bottom="0" percent="0" rank="0" text="" dxfId="18">
      <formula>"Must"</formula>
    </cfRule>
    <cfRule type="cellIs" priority="3" operator="equal" aboveAverage="0" equalAverage="0" bottom="0" percent="0" rank="0" text="" dxfId="19">
      <formula>"Should"</formula>
    </cfRule>
    <cfRule type="cellIs" priority="4" operator="equal" aboveAverage="0" equalAverage="0" bottom="0" percent="0" rank="0" text="" dxfId="20">
      <formula>"Nice"</formula>
    </cfRule>
  </conditionalFormatting>
  <conditionalFormatting sqref="H5:H17">
    <cfRule type="cellIs" priority="5" operator="equal" aboveAverage="0" equalAverage="0" bottom="0" percent="0" rank="0" text="" dxfId="21">
      <formula>"High"</formula>
    </cfRule>
    <cfRule type="cellIs" priority="6" operator="equal" aboveAverage="0" equalAverage="0" bottom="0" percent="0" rank="0" text="" dxfId="22">
      <formula>"Medium"</formula>
    </cfRule>
    <cfRule type="cellIs" priority="7" operator="equal" aboveAverage="0" equalAverage="0" bottom="0" percent="0" rank="0" text="" dxfId="23">
      <formula>"Low"</formula>
    </cfRule>
  </conditionalFormatting>
  <conditionalFormatting sqref="L5:L17">
    <cfRule type="cellIs" priority="8" operator="equal" aboveAverage="0" equalAverage="0" bottom="0" percent="0" rank="0" text="" dxfId="24">
      <formula>"Done"</formula>
    </cfRule>
    <cfRule type="cellIs" priority="9" operator="equal" aboveAverage="0" equalAverage="0" bottom="0" percent="0" rank="0" text="" dxfId="21">
      <formula>"Blocked"</formula>
    </cfRule>
    <cfRule type="cellIs" priority="10" operator="equal" aboveAverage="0" equalAverage="0" bottom="0" percent="0" rank="0" text="" dxfId="25">
      <formula>"In progress"</formula>
    </cfRule>
  </conditionalFormatting>
  <conditionalFormatting sqref="F5:F17">
    <cfRule type="expression" priority="11" aboveAverage="0" equalAverage="0" bottom="0" percent="0" rank="0" text="" dxfId="26">
      <formula>LEFT(F5,7)="PROBLEM"</formula>
    </cfRule>
    <cfRule type="expression" priority="12" aboveAverage="0" equalAverage="0" bottom="0" percent="0" rank="0" text="" dxfId="27">
      <formula>LEFT(F5,2)="OK"</formula>
    </cfRule>
  </conditionalFormatting>
  <dataValidations count="1">
    <dataValidation allowBlank="true" errorStyle="stop" operator="between" showDropDown="false" showErrorMessage="false" showInputMessage="false" sqref="L5:L17" type="list">
      <formula1>"Not started,In progress,Done,Blocked,Not needed"</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75B6"/>
    <pageSetUpPr fitToPage="false"/>
  </sheetPr>
  <dimension ref="A1:L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6"/>
    <col collapsed="false" customWidth="true" hidden="false" outlineLevel="0" max="2" min="2" style="0" width="14"/>
    <col collapsed="false" customWidth="true" hidden="false" outlineLevel="0" max="3" min="3" style="0" width="30"/>
    <col collapsed="false" customWidth="true" hidden="false" outlineLevel="0" max="4" min="4" style="0" width="44"/>
    <col collapsed="false" customWidth="true" hidden="false" outlineLevel="0" max="5" min="5" style="0" width="50"/>
    <col collapsed="false" customWidth="true" hidden="false" outlineLevel="0" max="6" min="6" style="0" width="30"/>
    <col collapsed="false" customWidth="true" hidden="false" outlineLevel="0" max="8" min="7" style="0" width="9"/>
    <col collapsed="false" customWidth="true" hidden="false" outlineLevel="0" max="9" min="9" style="0" width="40"/>
    <col collapsed="false" customWidth="true" hidden="false" outlineLevel="0" max="10" min="10" style="0" width="26"/>
    <col collapsed="false" customWidth="true" hidden="false" outlineLevel="0" max="12" min="11" style="0" width="12"/>
  </cols>
  <sheetData>
    <row r="1" customFormat="false" ht="17.35" hidden="false" customHeight="false" outlineLevel="0" collapsed="false">
      <c r="A1" s="17" t="s">
        <v>579</v>
      </c>
    </row>
    <row r="2" customFormat="false" ht="30" hidden="false" customHeight="true" outlineLevel="0" collapsed="false">
      <c r="A2" s="21" t="s">
        <v>580</v>
      </c>
      <c r="B2" s="21"/>
      <c r="C2" s="21"/>
      <c r="D2" s="21"/>
      <c r="E2" s="21"/>
      <c r="F2" s="21"/>
      <c r="G2" s="21"/>
      <c r="H2" s="21"/>
      <c r="I2" s="21"/>
      <c r="J2" s="21"/>
      <c r="K2" s="21"/>
      <c r="L2" s="21"/>
    </row>
    <row r="4" customFormat="false" ht="30" hidden="false" customHeight="true" outlineLevel="0" collapsed="false">
      <c r="A4" s="7" t="s">
        <v>187</v>
      </c>
      <c r="B4" s="7" t="s">
        <v>188</v>
      </c>
      <c r="C4" s="7" t="s">
        <v>189</v>
      </c>
      <c r="D4" s="7" t="s">
        <v>74</v>
      </c>
      <c r="E4" s="7" t="s">
        <v>190</v>
      </c>
      <c r="F4" s="7" t="s">
        <v>191</v>
      </c>
      <c r="G4" s="7" t="s">
        <v>192</v>
      </c>
      <c r="H4" s="7" t="s">
        <v>193</v>
      </c>
      <c r="I4" s="7" t="s">
        <v>194</v>
      </c>
      <c r="J4" s="7" t="s">
        <v>195</v>
      </c>
      <c r="K4" s="7" t="s">
        <v>196</v>
      </c>
      <c r="L4" s="7" t="s">
        <v>197</v>
      </c>
    </row>
    <row r="5" customFormat="false" ht="15" hidden="false" customHeight="false" outlineLevel="0" collapsed="false">
      <c r="A5" s="22" t="s">
        <v>581</v>
      </c>
      <c r="B5" s="22"/>
      <c r="C5" s="22"/>
      <c r="D5" s="22"/>
      <c r="E5" s="22"/>
      <c r="F5" s="22"/>
      <c r="G5" s="22"/>
      <c r="H5" s="22"/>
      <c r="I5" s="22"/>
      <c r="J5" s="22"/>
      <c r="K5" s="22"/>
      <c r="L5" s="22"/>
    </row>
    <row r="6" customFormat="false" ht="46.25" hidden="false" customHeight="false" outlineLevel="0" collapsed="false">
      <c r="A6" s="9" t="s">
        <v>582</v>
      </c>
      <c r="B6" s="20" t="s">
        <v>583</v>
      </c>
      <c r="C6" s="19" t="s">
        <v>584</v>
      </c>
      <c r="D6" s="20" t="s">
        <v>585</v>
      </c>
      <c r="E6" s="20" t="s">
        <v>586</v>
      </c>
      <c r="F6" s="20" t="s">
        <v>587</v>
      </c>
      <c r="G6" s="9" t="s">
        <v>204</v>
      </c>
      <c r="H6" s="9" t="s">
        <v>205</v>
      </c>
      <c r="I6" s="20" t="s">
        <v>588</v>
      </c>
      <c r="J6" s="20" t="s">
        <v>589</v>
      </c>
      <c r="K6" s="23"/>
      <c r="L6" s="24" t="s">
        <v>208</v>
      </c>
    </row>
    <row r="7" customFormat="false" ht="23.85" hidden="false" customHeight="false" outlineLevel="0" collapsed="false">
      <c r="A7" s="9" t="s">
        <v>590</v>
      </c>
      <c r="B7" s="20" t="s">
        <v>322</v>
      </c>
      <c r="C7" s="19" t="s">
        <v>591</v>
      </c>
      <c r="D7" s="20" t="s">
        <v>592</v>
      </c>
      <c r="E7" s="20" t="s">
        <v>593</v>
      </c>
      <c r="F7" s="20" t="s">
        <v>594</v>
      </c>
      <c r="G7" s="9" t="s">
        <v>204</v>
      </c>
      <c r="H7" s="9" t="s">
        <v>227</v>
      </c>
      <c r="I7" s="20" t="s">
        <v>595</v>
      </c>
      <c r="J7" s="20" t="s">
        <v>596</v>
      </c>
      <c r="K7" s="23"/>
      <c r="L7" s="24" t="s">
        <v>208</v>
      </c>
    </row>
    <row r="8" customFormat="false" ht="23.85" hidden="false" customHeight="false" outlineLevel="0" collapsed="false">
      <c r="A8" s="9" t="s">
        <v>597</v>
      </c>
      <c r="B8" s="20" t="s">
        <v>275</v>
      </c>
      <c r="C8" s="19" t="s">
        <v>598</v>
      </c>
      <c r="D8" s="20" t="s">
        <v>599</v>
      </c>
      <c r="E8" s="20" t="s">
        <v>600</v>
      </c>
      <c r="F8" s="20" t="s">
        <v>279</v>
      </c>
      <c r="G8" s="9" t="s">
        <v>204</v>
      </c>
      <c r="H8" s="9" t="s">
        <v>205</v>
      </c>
      <c r="I8" s="20" t="s">
        <v>163</v>
      </c>
      <c r="J8" s="20" t="s">
        <v>601</v>
      </c>
      <c r="K8" s="23"/>
      <c r="L8" s="24" t="s">
        <v>208</v>
      </c>
    </row>
    <row r="9" customFormat="false" ht="35.05" hidden="false" customHeight="false" outlineLevel="0" collapsed="false">
      <c r="A9" s="9" t="s">
        <v>146</v>
      </c>
      <c r="B9" s="20" t="s">
        <v>142</v>
      </c>
      <c r="C9" s="19" t="s">
        <v>602</v>
      </c>
      <c r="D9" s="20" t="s">
        <v>603</v>
      </c>
      <c r="E9" s="20" t="s">
        <v>604</v>
      </c>
      <c r="F9" s="20" t="s">
        <v>605</v>
      </c>
      <c r="G9" s="9" t="s">
        <v>410</v>
      </c>
      <c r="H9" s="9" t="s">
        <v>205</v>
      </c>
      <c r="I9" s="20" t="s">
        <v>606</v>
      </c>
      <c r="J9" s="20" t="s">
        <v>607</v>
      </c>
      <c r="K9" s="23"/>
      <c r="L9" s="24" t="s">
        <v>208</v>
      </c>
    </row>
    <row r="10" customFormat="false" ht="15" hidden="false" customHeight="false" outlineLevel="0" collapsed="false">
      <c r="A10" s="22" t="s">
        <v>608</v>
      </c>
      <c r="B10" s="22"/>
      <c r="C10" s="22"/>
      <c r="D10" s="22"/>
      <c r="E10" s="22"/>
      <c r="F10" s="22"/>
      <c r="G10" s="22"/>
      <c r="H10" s="22"/>
      <c r="I10" s="22"/>
      <c r="J10" s="22"/>
      <c r="K10" s="22"/>
      <c r="L10" s="22"/>
    </row>
    <row r="11" customFormat="false" ht="23.85" hidden="false" customHeight="false" outlineLevel="0" collapsed="false">
      <c r="A11" s="9" t="s">
        <v>609</v>
      </c>
      <c r="B11" s="20" t="s">
        <v>610</v>
      </c>
      <c r="C11" s="19" t="s">
        <v>611</v>
      </c>
      <c r="D11" s="20" t="s">
        <v>612</v>
      </c>
      <c r="E11" s="20" t="s">
        <v>613</v>
      </c>
      <c r="F11" s="20" t="s">
        <v>241</v>
      </c>
      <c r="G11" s="9" t="s">
        <v>204</v>
      </c>
      <c r="H11" s="9" t="s">
        <v>205</v>
      </c>
      <c r="I11" s="20" t="s">
        <v>163</v>
      </c>
      <c r="J11" s="20" t="s">
        <v>614</v>
      </c>
      <c r="K11" s="23"/>
      <c r="L11" s="24" t="s">
        <v>208</v>
      </c>
    </row>
    <row r="12" customFormat="false" ht="46.25" hidden="false" customHeight="false" outlineLevel="0" collapsed="false">
      <c r="A12" s="9" t="s">
        <v>615</v>
      </c>
      <c r="B12" s="20" t="s">
        <v>616</v>
      </c>
      <c r="C12" s="19" t="s">
        <v>617</v>
      </c>
      <c r="D12" s="20" t="s">
        <v>618</v>
      </c>
      <c r="E12" s="20" t="s">
        <v>619</v>
      </c>
      <c r="F12" s="20" t="s">
        <v>241</v>
      </c>
      <c r="G12" s="9" t="s">
        <v>204</v>
      </c>
      <c r="H12" s="9" t="s">
        <v>205</v>
      </c>
      <c r="I12" s="20" t="s">
        <v>163</v>
      </c>
      <c r="J12" s="20" t="s">
        <v>620</v>
      </c>
      <c r="K12" s="23"/>
      <c r="L12" s="24" t="s">
        <v>208</v>
      </c>
    </row>
    <row r="13" customFormat="false" ht="57.45" hidden="false" customHeight="false" outlineLevel="0" collapsed="false">
      <c r="A13" s="9" t="s">
        <v>621</v>
      </c>
      <c r="B13" s="20" t="s">
        <v>503</v>
      </c>
      <c r="C13" s="19" t="s">
        <v>622</v>
      </c>
      <c r="D13" s="20" t="s">
        <v>623</v>
      </c>
      <c r="E13" s="20" t="s">
        <v>624</v>
      </c>
      <c r="F13" s="20" t="s">
        <v>625</v>
      </c>
      <c r="G13" s="9" t="s">
        <v>204</v>
      </c>
      <c r="H13" s="9" t="s">
        <v>205</v>
      </c>
      <c r="I13" s="20" t="s">
        <v>626</v>
      </c>
      <c r="J13" s="20" t="s">
        <v>627</v>
      </c>
      <c r="K13" s="23"/>
      <c r="L13" s="24" t="s">
        <v>208</v>
      </c>
    </row>
    <row r="14" customFormat="false" ht="35.05" hidden="false" customHeight="false" outlineLevel="0" collapsed="false">
      <c r="A14" s="9" t="s">
        <v>628</v>
      </c>
      <c r="B14" s="20" t="s">
        <v>629</v>
      </c>
      <c r="C14" s="19" t="s">
        <v>630</v>
      </c>
      <c r="D14" s="20" t="s">
        <v>631</v>
      </c>
      <c r="E14" s="20" t="s">
        <v>632</v>
      </c>
      <c r="F14" s="20" t="s">
        <v>633</v>
      </c>
      <c r="G14" s="9" t="s">
        <v>204</v>
      </c>
      <c r="H14" s="9" t="s">
        <v>205</v>
      </c>
      <c r="I14" s="20" t="s">
        <v>163</v>
      </c>
      <c r="J14" s="20" t="s">
        <v>634</v>
      </c>
      <c r="K14" s="23"/>
      <c r="L14" s="24" t="s">
        <v>208</v>
      </c>
    </row>
    <row r="15" customFormat="false" ht="46.25" hidden="false" customHeight="false" outlineLevel="0" collapsed="false">
      <c r="A15" s="9" t="s">
        <v>635</v>
      </c>
      <c r="B15" s="20" t="s">
        <v>636</v>
      </c>
      <c r="C15" s="19" t="s">
        <v>637</v>
      </c>
      <c r="D15" s="20" t="s">
        <v>638</v>
      </c>
      <c r="E15" s="20" t="s">
        <v>639</v>
      </c>
      <c r="F15" s="20" t="s">
        <v>241</v>
      </c>
      <c r="G15" s="9" t="s">
        <v>234</v>
      </c>
      <c r="H15" s="9" t="s">
        <v>205</v>
      </c>
      <c r="I15" s="20" t="s">
        <v>163</v>
      </c>
      <c r="J15" s="20" t="s">
        <v>640</v>
      </c>
      <c r="K15" s="23"/>
      <c r="L15" s="24" t="s">
        <v>208</v>
      </c>
    </row>
    <row r="16" customFormat="false" ht="23.85" hidden="false" customHeight="false" outlineLevel="0" collapsed="false">
      <c r="A16" s="9" t="s">
        <v>641</v>
      </c>
      <c r="B16" s="20" t="s">
        <v>642</v>
      </c>
      <c r="C16" s="19" t="s">
        <v>643</v>
      </c>
      <c r="D16" s="20" t="s">
        <v>644</v>
      </c>
      <c r="E16" s="20" t="s">
        <v>645</v>
      </c>
      <c r="F16" s="20" t="s">
        <v>241</v>
      </c>
      <c r="G16" s="9" t="s">
        <v>410</v>
      </c>
      <c r="H16" s="9" t="s">
        <v>205</v>
      </c>
      <c r="I16" s="20" t="s">
        <v>163</v>
      </c>
      <c r="J16" s="20" t="s">
        <v>646</v>
      </c>
      <c r="K16" s="23"/>
      <c r="L16" s="24" t="s">
        <v>208</v>
      </c>
    </row>
    <row r="17" customFormat="false" ht="35.05" hidden="false" customHeight="false" outlineLevel="0" collapsed="false">
      <c r="A17" s="9" t="s">
        <v>647</v>
      </c>
      <c r="B17" s="20" t="s">
        <v>648</v>
      </c>
      <c r="C17" s="19" t="s">
        <v>649</v>
      </c>
      <c r="D17" s="20" t="s">
        <v>650</v>
      </c>
      <c r="E17" s="20" t="s">
        <v>651</v>
      </c>
      <c r="F17" s="20" t="s">
        <v>241</v>
      </c>
      <c r="G17" s="9" t="s">
        <v>234</v>
      </c>
      <c r="H17" s="9" t="s">
        <v>205</v>
      </c>
      <c r="I17" s="20" t="s">
        <v>163</v>
      </c>
      <c r="J17" s="20" t="s">
        <v>652</v>
      </c>
      <c r="K17" s="23"/>
      <c r="L17" s="24" t="s">
        <v>208</v>
      </c>
    </row>
  </sheetData>
  <autoFilter ref="A4:L17"/>
  <mergeCells count="3">
    <mergeCell ref="A2:L2"/>
    <mergeCell ref="A5:L5"/>
    <mergeCell ref="A10:L10"/>
  </mergeCells>
  <conditionalFormatting sqref="G5:G17">
    <cfRule type="cellIs" priority="2" operator="equal" aboveAverage="0" equalAverage="0" bottom="0" percent="0" rank="0" text="" dxfId="18">
      <formula>"Must"</formula>
    </cfRule>
    <cfRule type="cellIs" priority="3" operator="equal" aboveAverage="0" equalAverage="0" bottom="0" percent="0" rank="0" text="" dxfId="19">
      <formula>"Should"</formula>
    </cfRule>
    <cfRule type="cellIs" priority="4" operator="equal" aboveAverage="0" equalAverage="0" bottom="0" percent="0" rank="0" text="" dxfId="20">
      <formula>"Nice"</formula>
    </cfRule>
  </conditionalFormatting>
  <conditionalFormatting sqref="H5:H17">
    <cfRule type="cellIs" priority="5" operator="equal" aboveAverage="0" equalAverage="0" bottom="0" percent="0" rank="0" text="" dxfId="21">
      <formula>"High"</formula>
    </cfRule>
    <cfRule type="cellIs" priority="6" operator="equal" aboveAverage="0" equalAverage="0" bottom="0" percent="0" rank="0" text="" dxfId="22">
      <formula>"Medium"</formula>
    </cfRule>
    <cfRule type="cellIs" priority="7" operator="equal" aboveAverage="0" equalAverage="0" bottom="0" percent="0" rank="0" text="" dxfId="23">
      <formula>"Low"</formula>
    </cfRule>
  </conditionalFormatting>
  <conditionalFormatting sqref="L5:L17">
    <cfRule type="cellIs" priority="8" operator="equal" aboveAverage="0" equalAverage="0" bottom="0" percent="0" rank="0" text="" dxfId="24">
      <formula>"Done"</formula>
    </cfRule>
    <cfRule type="cellIs" priority="9" operator="equal" aboveAverage="0" equalAverage="0" bottom="0" percent="0" rank="0" text="" dxfId="21">
      <formula>"Blocked"</formula>
    </cfRule>
    <cfRule type="cellIs" priority="10" operator="equal" aboveAverage="0" equalAverage="0" bottom="0" percent="0" rank="0" text="" dxfId="25">
      <formula>"In progress"</formula>
    </cfRule>
  </conditionalFormatting>
  <conditionalFormatting sqref="F5:F17">
    <cfRule type="expression" priority="11" aboveAverage="0" equalAverage="0" bottom="0" percent="0" rank="0" text="" dxfId="26">
      <formula>LEFT(F5,7)="PROBLEM"</formula>
    </cfRule>
    <cfRule type="expression" priority="12" aboveAverage="0" equalAverage="0" bottom="0" percent="0" rank="0" text="" dxfId="27">
      <formula>LEFT(F5,2)="OK"</formula>
    </cfRule>
  </conditionalFormatting>
  <dataValidations count="1">
    <dataValidation allowBlank="true" errorStyle="stop" operator="between" showDropDown="false" showErrorMessage="false" showInputMessage="false" sqref="L5:L17" type="list">
      <formula1>"Not started,In progress,Done,Blocked,Not needed"</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030A0"/>
    <pageSetUpPr fitToPage="false"/>
  </sheetPr>
  <dimension ref="A1:L2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6"/>
    <col collapsed="false" customWidth="true" hidden="false" outlineLevel="0" max="2" min="2" style="0" width="14"/>
    <col collapsed="false" customWidth="true" hidden="false" outlineLevel="0" max="3" min="3" style="0" width="30"/>
    <col collapsed="false" customWidth="true" hidden="false" outlineLevel="0" max="4" min="4" style="0" width="44"/>
    <col collapsed="false" customWidth="true" hidden="false" outlineLevel="0" max="5" min="5" style="0" width="50"/>
    <col collapsed="false" customWidth="true" hidden="false" outlineLevel="0" max="6" min="6" style="0" width="30"/>
    <col collapsed="false" customWidth="true" hidden="false" outlineLevel="0" max="8" min="7" style="0" width="9"/>
    <col collapsed="false" customWidth="true" hidden="false" outlineLevel="0" max="9" min="9" style="0" width="40"/>
    <col collapsed="false" customWidth="true" hidden="false" outlineLevel="0" max="10" min="10" style="0" width="26"/>
    <col collapsed="false" customWidth="true" hidden="false" outlineLevel="0" max="12" min="11" style="0" width="12"/>
  </cols>
  <sheetData>
    <row r="1" customFormat="false" ht="17.35" hidden="false" customHeight="false" outlineLevel="0" collapsed="false">
      <c r="A1" s="17" t="s">
        <v>653</v>
      </c>
    </row>
    <row r="2" customFormat="false" ht="30" hidden="false" customHeight="true" outlineLevel="0" collapsed="false">
      <c r="A2" s="21" t="s">
        <v>654</v>
      </c>
      <c r="B2" s="21"/>
      <c r="C2" s="21"/>
      <c r="D2" s="21"/>
      <c r="E2" s="21"/>
      <c r="F2" s="21"/>
      <c r="G2" s="21"/>
      <c r="H2" s="21"/>
      <c r="I2" s="21"/>
      <c r="J2" s="21"/>
      <c r="K2" s="21"/>
      <c r="L2" s="21"/>
    </row>
    <row r="4" customFormat="false" ht="30" hidden="false" customHeight="true" outlineLevel="0" collapsed="false">
      <c r="A4" s="7" t="s">
        <v>187</v>
      </c>
      <c r="B4" s="7" t="s">
        <v>188</v>
      </c>
      <c r="C4" s="7" t="s">
        <v>189</v>
      </c>
      <c r="D4" s="7" t="s">
        <v>74</v>
      </c>
      <c r="E4" s="7" t="s">
        <v>190</v>
      </c>
      <c r="F4" s="7" t="s">
        <v>191</v>
      </c>
      <c r="G4" s="7" t="s">
        <v>192</v>
      </c>
      <c r="H4" s="7" t="s">
        <v>193</v>
      </c>
      <c r="I4" s="7" t="s">
        <v>194</v>
      </c>
      <c r="J4" s="7" t="s">
        <v>195</v>
      </c>
      <c r="K4" s="7" t="s">
        <v>196</v>
      </c>
      <c r="L4" s="7" t="s">
        <v>197</v>
      </c>
    </row>
    <row r="5" customFormat="false" ht="15" hidden="false" customHeight="false" outlineLevel="0" collapsed="false">
      <c r="A5" s="22" t="s">
        <v>655</v>
      </c>
      <c r="B5" s="22"/>
      <c r="C5" s="22"/>
      <c r="D5" s="22"/>
      <c r="E5" s="22"/>
      <c r="F5" s="22"/>
      <c r="G5" s="22"/>
      <c r="H5" s="22"/>
      <c r="I5" s="22"/>
      <c r="J5" s="22"/>
      <c r="K5" s="22"/>
      <c r="L5" s="22"/>
    </row>
    <row r="6" customFormat="false" ht="46.25" hidden="false" customHeight="false" outlineLevel="0" collapsed="false">
      <c r="A6" s="9" t="s">
        <v>656</v>
      </c>
      <c r="B6" s="20" t="s">
        <v>657</v>
      </c>
      <c r="C6" s="19" t="s">
        <v>658</v>
      </c>
      <c r="D6" s="20" t="s">
        <v>659</v>
      </c>
      <c r="E6" s="20" t="s">
        <v>660</v>
      </c>
      <c r="F6" s="20" t="s">
        <v>241</v>
      </c>
      <c r="G6" s="9" t="s">
        <v>204</v>
      </c>
      <c r="H6" s="9" t="s">
        <v>205</v>
      </c>
      <c r="I6" s="20" t="s">
        <v>163</v>
      </c>
      <c r="J6" s="20" t="s">
        <v>661</v>
      </c>
      <c r="K6" s="23"/>
      <c r="L6" s="24" t="s">
        <v>208</v>
      </c>
    </row>
    <row r="7" customFormat="false" ht="35.05" hidden="false" customHeight="false" outlineLevel="0" collapsed="false">
      <c r="A7" s="9" t="s">
        <v>154</v>
      </c>
      <c r="B7" s="20" t="s">
        <v>662</v>
      </c>
      <c r="C7" s="19" t="s">
        <v>663</v>
      </c>
      <c r="D7" s="20" t="s">
        <v>664</v>
      </c>
      <c r="E7" s="20" t="s">
        <v>665</v>
      </c>
      <c r="F7" s="20" t="s">
        <v>666</v>
      </c>
      <c r="G7" s="9" t="s">
        <v>204</v>
      </c>
      <c r="H7" s="9" t="s">
        <v>205</v>
      </c>
      <c r="I7" s="20" t="s">
        <v>667</v>
      </c>
      <c r="J7" s="20" t="s">
        <v>668</v>
      </c>
      <c r="K7" s="23"/>
      <c r="L7" s="24" t="s">
        <v>208</v>
      </c>
    </row>
    <row r="8" customFormat="false" ht="46.25" hidden="false" customHeight="false" outlineLevel="0" collapsed="false">
      <c r="A8" s="9" t="s">
        <v>159</v>
      </c>
      <c r="B8" s="20" t="s">
        <v>669</v>
      </c>
      <c r="C8" s="19" t="s">
        <v>670</v>
      </c>
      <c r="D8" s="20" t="s">
        <v>671</v>
      </c>
      <c r="E8" s="20" t="s">
        <v>672</v>
      </c>
      <c r="F8" s="20" t="s">
        <v>673</v>
      </c>
      <c r="G8" s="9" t="s">
        <v>204</v>
      </c>
      <c r="H8" s="9" t="s">
        <v>205</v>
      </c>
      <c r="I8" s="20" t="s">
        <v>674</v>
      </c>
      <c r="J8" s="20" t="s">
        <v>675</v>
      </c>
      <c r="K8" s="23"/>
      <c r="L8" s="24" t="s">
        <v>208</v>
      </c>
    </row>
    <row r="9" customFormat="false" ht="35.05" hidden="false" customHeight="false" outlineLevel="0" collapsed="false">
      <c r="A9" s="9" t="s">
        <v>676</v>
      </c>
      <c r="B9" s="20" t="s">
        <v>677</v>
      </c>
      <c r="C9" s="19" t="s">
        <v>678</v>
      </c>
      <c r="D9" s="20" t="s">
        <v>679</v>
      </c>
      <c r="E9" s="20" t="s">
        <v>680</v>
      </c>
      <c r="F9" s="20" t="s">
        <v>241</v>
      </c>
      <c r="G9" s="9" t="s">
        <v>204</v>
      </c>
      <c r="H9" s="9" t="s">
        <v>205</v>
      </c>
      <c r="I9" s="20" t="s">
        <v>681</v>
      </c>
      <c r="J9" s="20" t="s">
        <v>682</v>
      </c>
      <c r="K9" s="23"/>
      <c r="L9" s="24" t="s">
        <v>208</v>
      </c>
    </row>
    <row r="10" customFormat="false" ht="35.05" hidden="false" customHeight="false" outlineLevel="0" collapsed="false">
      <c r="A10" s="9" t="s">
        <v>683</v>
      </c>
      <c r="B10" s="20" t="s">
        <v>684</v>
      </c>
      <c r="C10" s="19" t="s">
        <v>685</v>
      </c>
      <c r="D10" s="20" t="s">
        <v>686</v>
      </c>
      <c r="E10" s="20" t="s">
        <v>687</v>
      </c>
      <c r="F10" s="20" t="s">
        <v>688</v>
      </c>
      <c r="G10" s="9" t="s">
        <v>234</v>
      </c>
      <c r="H10" s="9" t="s">
        <v>205</v>
      </c>
      <c r="I10" s="20" t="s">
        <v>689</v>
      </c>
      <c r="J10" s="20" t="s">
        <v>690</v>
      </c>
      <c r="K10" s="23"/>
      <c r="L10" s="24" t="s">
        <v>208</v>
      </c>
    </row>
    <row r="11" customFormat="false" ht="15" hidden="false" customHeight="false" outlineLevel="0" collapsed="false">
      <c r="A11" s="22" t="s">
        <v>691</v>
      </c>
      <c r="B11" s="22"/>
      <c r="C11" s="22"/>
      <c r="D11" s="22"/>
      <c r="E11" s="22"/>
      <c r="F11" s="22"/>
      <c r="G11" s="22"/>
      <c r="H11" s="22"/>
      <c r="I11" s="22"/>
      <c r="J11" s="22"/>
      <c r="K11" s="22"/>
      <c r="L11" s="22"/>
    </row>
    <row r="12" customFormat="false" ht="23.85" hidden="false" customHeight="false" outlineLevel="0" collapsed="false">
      <c r="A12" s="9" t="s">
        <v>692</v>
      </c>
      <c r="B12" s="20" t="s">
        <v>693</v>
      </c>
      <c r="C12" s="19" t="s">
        <v>694</v>
      </c>
      <c r="D12" s="20" t="s">
        <v>695</v>
      </c>
      <c r="E12" s="20" t="s">
        <v>696</v>
      </c>
      <c r="F12" s="20" t="s">
        <v>241</v>
      </c>
      <c r="G12" s="9" t="s">
        <v>234</v>
      </c>
      <c r="H12" s="9" t="s">
        <v>205</v>
      </c>
      <c r="I12" s="20" t="s">
        <v>697</v>
      </c>
      <c r="J12" s="20" t="s">
        <v>698</v>
      </c>
      <c r="K12" s="23"/>
      <c r="L12" s="24" t="s">
        <v>208</v>
      </c>
    </row>
    <row r="13" customFormat="false" ht="35.05" hidden="false" customHeight="false" outlineLevel="0" collapsed="false">
      <c r="A13" s="9" t="s">
        <v>699</v>
      </c>
      <c r="B13" s="20" t="s">
        <v>700</v>
      </c>
      <c r="C13" s="19" t="s">
        <v>701</v>
      </c>
      <c r="D13" s="20" t="s">
        <v>702</v>
      </c>
      <c r="E13" s="20" t="s">
        <v>703</v>
      </c>
      <c r="F13" s="20" t="s">
        <v>241</v>
      </c>
      <c r="G13" s="9" t="s">
        <v>204</v>
      </c>
      <c r="H13" s="9" t="s">
        <v>205</v>
      </c>
      <c r="I13" s="20" t="s">
        <v>163</v>
      </c>
      <c r="J13" s="20" t="s">
        <v>704</v>
      </c>
      <c r="K13" s="23"/>
      <c r="L13" s="24" t="s">
        <v>208</v>
      </c>
    </row>
    <row r="14" customFormat="false" ht="23.85" hidden="false" customHeight="false" outlineLevel="0" collapsed="false">
      <c r="A14" s="9" t="s">
        <v>705</v>
      </c>
      <c r="B14" s="20" t="s">
        <v>706</v>
      </c>
      <c r="C14" s="19" t="s">
        <v>707</v>
      </c>
      <c r="D14" s="20" t="s">
        <v>708</v>
      </c>
      <c r="E14" s="20" t="s">
        <v>709</v>
      </c>
      <c r="F14" s="20" t="s">
        <v>241</v>
      </c>
      <c r="G14" s="9" t="s">
        <v>204</v>
      </c>
      <c r="H14" s="9" t="s">
        <v>205</v>
      </c>
      <c r="I14" s="20" t="s">
        <v>163</v>
      </c>
      <c r="J14" s="20" t="s">
        <v>710</v>
      </c>
      <c r="K14" s="23"/>
      <c r="L14" s="24" t="s">
        <v>208</v>
      </c>
    </row>
    <row r="15" customFormat="false" ht="23.85" hidden="false" customHeight="false" outlineLevel="0" collapsed="false">
      <c r="A15" s="9" t="s">
        <v>711</v>
      </c>
      <c r="B15" s="20" t="s">
        <v>712</v>
      </c>
      <c r="C15" s="19" t="s">
        <v>713</v>
      </c>
      <c r="D15" s="20" t="s">
        <v>714</v>
      </c>
      <c r="E15" s="20" t="s">
        <v>715</v>
      </c>
      <c r="F15" s="20" t="s">
        <v>241</v>
      </c>
      <c r="G15" s="9" t="s">
        <v>234</v>
      </c>
      <c r="H15" s="9" t="s">
        <v>205</v>
      </c>
      <c r="I15" s="20" t="s">
        <v>163</v>
      </c>
      <c r="J15" s="20" t="s">
        <v>716</v>
      </c>
      <c r="K15" s="23"/>
      <c r="L15" s="24" t="s">
        <v>208</v>
      </c>
    </row>
    <row r="16" customFormat="false" ht="15" hidden="false" customHeight="false" outlineLevel="0" collapsed="false">
      <c r="A16" s="22" t="s">
        <v>717</v>
      </c>
      <c r="B16" s="22"/>
      <c r="C16" s="22"/>
      <c r="D16" s="22"/>
      <c r="E16" s="22"/>
      <c r="F16" s="22"/>
      <c r="G16" s="22"/>
      <c r="H16" s="22"/>
      <c r="I16" s="22"/>
      <c r="J16" s="22"/>
      <c r="K16" s="22"/>
      <c r="L16" s="22"/>
    </row>
    <row r="17" customFormat="false" ht="35.05" hidden="false" customHeight="false" outlineLevel="0" collapsed="false">
      <c r="A17" s="9" t="s">
        <v>718</v>
      </c>
      <c r="B17" s="20" t="s">
        <v>719</v>
      </c>
      <c r="C17" s="19" t="s">
        <v>720</v>
      </c>
      <c r="D17" s="20" t="s">
        <v>721</v>
      </c>
      <c r="E17" s="20" t="s">
        <v>722</v>
      </c>
      <c r="F17" s="20" t="s">
        <v>241</v>
      </c>
      <c r="G17" s="9" t="s">
        <v>234</v>
      </c>
      <c r="H17" s="9" t="s">
        <v>205</v>
      </c>
      <c r="I17" s="20" t="s">
        <v>163</v>
      </c>
      <c r="J17" s="20" t="s">
        <v>723</v>
      </c>
      <c r="K17" s="23"/>
      <c r="L17" s="24" t="s">
        <v>208</v>
      </c>
    </row>
    <row r="18" customFormat="false" ht="23.85" hidden="false" customHeight="false" outlineLevel="0" collapsed="false">
      <c r="A18" s="9" t="s">
        <v>724</v>
      </c>
      <c r="B18" s="20" t="s">
        <v>725</v>
      </c>
      <c r="C18" s="19" t="s">
        <v>726</v>
      </c>
      <c r="D18" s="20" t="s">
        <v>727</v>
      </c>
      <c r="E18" s="20" t="s">
        <v>728</v>
      </c>
      <c r="F18" s="20" t="s">
        <v>241</v>
      </c>
      <c r="G18" s="9" t="s">
        <v>234</v>
      </c>
      <c r="H18" s="9" t="s">
        <v>205</v>
      </c>
      <c r="I18" s="20" t="s">
        <v>729</v>
      </c>
      <c r="J18" s="20" t="s">
        <v>730</v>
      </c>
      <c r="K18" s="23"/>
      <c r="L18" s="24" t="s">
        <v>208</v>
      </c>
    </row>
    <row r="19" customFormat="false" ht="23.85" hidden="false" customHeight="false" outlineLevel="0" collapsed="false">
      <c r="A19" s="9" t="s">
        <v>731</v>
      </c>
      <c r="B19" s="20" t="s">
        <v>732</v>
      </c>
      <c r="C19" s="19" t="s">
        <v>733</v>
      </c>
      <c r="D19" s="20" t="s">
        <v>734</v>
      </c>
      <c r="E19" s="20" t="s">
        <v>735</v>
      </c>
      <c r="F19" s="20" t="s">
        <v>241</v>
      </c>
      <c r="G19" s="9" t="s">
        <v>234</v>
      </c>
      <c r="H19" s="9" t="s">
        <v>205</v>
      </c>
      <c r="I19" s="20" t="s">
        <v>736</v>
      </c>
      <c r="J19" s="20" t="s">
        <v>737</v>
      </c>
      <c r="K19" s="23"/>
      <c r="L19" s="24" t="s">
        <v>208</v>
      </c>
    </row>
    <row r="20" customFormat="false" ht="23.85" hidden="false" customHeight="false" outlineLevel="0" collapsed="false">
      <c r="A20" s="9" t="s">
        <v>738</v>
      </c>
      <c r="B20" s="20" t="s">
        <v>739</v>
      </c>
      <c r="C20" s="19" t="s">
        <v>740</v>
      </c>
      <c r="D20" s="20" t="s">
        <v>741</v>
      </c>
      <c r="E20" s="20" t="s">
        <v>742</v>
      </c>
      <c r="F20" s="20" t="s">
        <v>241</v>
      </c>
      <c r="G20" s="9" t="s">
        <v>410</v>
      </c>
      <c r="H20" s="9" t="s">
        <v>205</v>
      </c>
      <c r="I20" s="20" t="s">
        <v>163</v>
      </c>
      <c r="J20" s="20" t="s">
        <v>743</v>
      </c>
      <c r="K20" s="23"/>
      <c r="L20" s="24" t="s">
        <v>208</v>
      </c>
    </row>
    <row r="21" customFormat="false" ht="23.85" hidden="false" customHeight="false" outlineLevel="0" collapsed="false">
      <c r="A21" s="9" t="s">
        <v>744</v>
      </c>
      <c r="B21" s="20" t="s">
        <v>745</v>
      </c>
      <c r="C21" s="19" t="s">
        <v>746</v>
      </c>
      <c r="D21" s="20" t="s">
        <v>747</v>
      </c>
      <c r="E21" s="20" t="s">
        <v>748</v>
      </c>
      <c r="F21" s="20" t="s">
        <v>241</v>
      </c>
      <c r="G21" s="9" t="s">
        <v>410</v>
      </c>
      <c r="H21" s="9" t="s">
        <v>205</v>
      </c>
      <c r="I21" s="20" t="s">
        <v>163</v>
      </c>
      <c r="J21" s="20" t="s">
        <v>749</v>
      </c>
      <c r="K21" s="23"/>
      <c r="L21" s="24" t="s">
        <v>208</v>
      </c>
    </row>
    <row r="22" customFormat="false" ht="15" hidden="false" customHeight="false" outlineLevel="0" collapsed="false">
      <c r="A22" s="22" t="s">
        <v>750</v>
      </c>
      <c r="B22" s="22"/>
      <c r="C22" s="22"/>
      <c r="D22" s="22"/>
      <c r="E22" s="22"/>
      <c r="F22" s="22"/>
      <c r="G22" s="22"/>
      <c r="H22" s="22"/>
      <c r="I22" s="22"/>
      <c r="J22" s="22"/>
      <c r="K22" s="22"/>
      <c r="L22" s="22"/>
    </row>
    <row r="23" customFormat="false" ht="35.05" hidden="false" customHeight="false" outlineLevel="0" collapsed="false">
      <c r="A23" s="9" t="s">
        <v>751</v>
      </c>
      <c r="B23" s="20" t="s">
        <v>752</v>
      </c>
      <c r="C23" s="19" t="s">
        <v>753</v>
      </c>
      <c r="D23" s="20" t="s">
        <v>754</v>
      </c>
      <c r="E23" s="20" t="s">
        <v>755</v>
      </c>
      <c r="F23" s="20" t="s">
        <v>756</v>
      </c>
      <c r="G23" s="9" t="s">
        <v>204</v>
      </c>
      <c r="H23" s="9" t="s">
        <v>205</v>
      </c>
      <c r="I23" s="20" t="s">
        <v>757</v>
      </c>
      <c r="J23" s="20" t="s">
        <v>758</v>
      </c>
      <c r="K23" s="23"/>
      <c r="L23" s="24" t="s">
        <v>208</v>
      </c>
    </row>
    <row r="24" customFormat="false" ht="46.25" hidden="false" customHeight="false" outlineLevel="0" collapsed="false">
      <c r="A24" s="9" t="s">
        <v>759</v>
      </c>
      <c r="B24" s="20" t="s">
        <v>760</v>
      </c>
      <c r="C24" s="19" t="s">
        <v>761</v>
      </c>
      <c r="D24" s="20" t="s">
        <v>762</v>
      </c>
      <c r="E24" s="20" t="s">
        <v>763</v>
      </c>
      <c r="F24" s="20" t="s">
        <v>241</v>
      </c>
      <c r="G24" s="9" t="s">
        <v>204</v>
      </c>
      <c r="H24" s="9" t="s">
        <v>205</v>
      </c>
      <c r="I24" s="20" t="s">
        <v>163</v>
      </c>
      <c r="J24" s="20" t="s">
        <v>764</v>
      </c>
      <c r="K24" s="23"/>
      <c r="L24" s="24" t="s">
        <v>208</v>
      </c>
    </row>
    <row r="25" customFormat="false" ht="23.85" hidden="false" customHeight="false" outlineLevel="0" collapsed="false">
      <c r="A25" s="9" t="s">
        <v>765</v>
      </c>
      <c r="B25" s="20" t="s">
        <v>766</v>
      </c>
      <c r="C25" s="19" t="s">
        <v>767</v>
      </c>
      <c r="D25" s="20" t="s">
        <v>768</v>
      </c>
      <c r="E25" s="20" t="s">
        <v>769</v>
      </c>
      <c r="F25" s="20" t="s">
        <v>241</v>
      </c>
      <c r="G25" s="9" t="s">
        <v>204</v>
      </c>
      <c r="H25" s="9" t="s">
        <v>205</v>
      </c>
      <c r="I25" s="20" t="s">
        <v>163</v>
      </c>
      <c r="J25" s="20" t="s">
        <v>770</v>
      </c>
      <c r="K25" s="23"/>
      <c r="L25" s="24" t="s">
        <v>208</v>
      </c>
    </row>
    <row r="26" customFormat="false" ht="23.85" hidden="false" customHeight="false" outlineLevel="0" collapsed="false">
      <c r="A26" s="9" t="s">
        <v>771</v>
      </c>
      <c r="B26" s="20" t="s">
        <v>772</v>
      </c>
      <c r="C26" s="19" t="s">
        <v>773</v>
      </c>
      <c r="D26" s="20" t="s">
        <v>774</v>
      </c>
      <c r="E26" s="20" t="s">
        <v>775</v>
      </c>
      <c r="F26" s="20" t="s">
        <v>241</v>
      </c>
      <c r="G26" s="9" t="s">
        <v>410</v>
      </c>
      <c r="H26" s="9" t="s">
        <v>205</v>
      </c>
      <c r="I26" s="20" t="s">
        <v>776</v>
      </c>
      <c r="J26" s="20" t="s">
        <v>777</v>
      </c>
      <c r="K26" s="23"/>
      <c r="L26" s="24" t="s">
        <v>208</v>
      </c>
    </row>
  </sheetData>
  <autoFilter ref="A4:L26"/>
  <mergeCells count="5">
    <mergeCell ref="A2:L2"/>
    <mergeCell ref="A5:L5"/>
    <mergeCell ref="A11:L11"/>
    <mergeCell ref="A16:L16"/>
    <mergeCell ref="A22:L22"/>
  </mergeCells>
  <conditionalFormatting sqref="G5:G26">
    <cfRule type="cellIs" priority="2" operator="equal" aboveAverage="0" equalAverage="0" bottom="0" percent="0" rank="0" text="" dxfId="18">
      <formula>"Must"</formula>
    </cfRule>
    <cfRule type="cellIs" priority="3" operator="equal" aboveAverage="0" equalAverage="0" bottom="0" percent="0" rank="0" text="" dxfId="19">
      <formula>"Should"</formula>
    </cfRule>
    <cfRule type="cellIs" priority="4" operator="equal" aboveAverage="0" equalAverage="0" bottom="0" percent="0" rank="0" text="" dxfId="20">
      <formula>"Nice"</formula>
    </cfRule>
  </conditionalFormatting>
  <conditionalFormatting sqref="H5:H26">
    <cfRule type="cellIs" priority="5" operator="equal" aboveAverage="0" equalAverage="0" bottom="0" percent="0" rank="0" text="" dxfId="21">
      <formula>"High"</formula>
    </cfRule>
    <cfRule type="cellIs" priority="6" operator="equal" aboveAverage="0" equalAverage="0" bottom="0" percent="0" rank="0" text="" dxfId="22">
      <formula>"Medium"</formula>
    </cfRule>
    <cfRule type="cellIs" priority="7" operator="equal" aboveAverage="0" equalAverage="0" bottom="0" percent="0" rank="0" text="" dxfId="23">
      <formula>"Low"</formula>
    </cfRule>
  </conditionalFormatting>
  <conditionalFormatting sqref="L5:L26">
    <cfRule type="cellIs" priority="8" operator="equal" aboveAverage="0" equalAverage="0" bottom="0" percent="0" rank="0" text="" dxfId="24">
      <formula>"Done"</formula>
    </cfRule>
    <cfRule type="cellIs" priority="9" operator="equal" aboveAverage="0" equalAverage="0" bottom="0" percent="0" rank="0" text="" dxfId="21">
      <formula>"Blocked"</formula>
    </cfRule>
    <cfRule type="cellIs" priority="10" operator="equal" aboveAverage="0" equalAverage="0" bottom="0" percent="0" rank="0" text="" dxfId="25">
      <formula>"In progress"</formula>
    </cfRule>
  </conditionalFormatting>
  <conditionalFormatting sqref="F5:F26">
    <cfRule type="expression" priority="11" aboveAverage="0" equalAverage="0" bottom="0" percent="0" rank="0" text="" dxfId="26">
      <formula>LEFT(F5,7)="PROBLEM"</formula>
    </cfRule>
    <cfRule type="expression" priority="12" aboveAverage="0" equalAverage="0" bottom="0" percent="0" rank="0" text="" dxfId="27">
      <formula>LEFT(F5,2)="OK"</formula>
    </cfRule>
  </conditionalFormatting>
  <dataValidations count="1">
    <dataValidation allowBlank="true" errorStyle="stop" operator="between" showDropDown="false" showErrorMessage="false" showInputMessage="false" sqref="L5:L26" type="list">
      <formula1>"Not started,In progress,Done,Blocked,Not needed"</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95959"/>
    <pageSetUpPr fitToPage="false"/>
  </sheetPr>
  <dimension ref="A1:L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6"/>
    <col collapsed="false" customWidth="true" hidden="false" outlineLevel="0" max="2" min="2" style="0" width="14"/>
    <col collapsed="false" customWidth="true" hidden="false" outlineLevel="0" max="3" min="3" style="0" width="30"/>
    <col collapsed="false" customWidth="true" hidden="false" outlineLevel="0" max="4" min="4" style="0" width="44"/>
    <col collapsed="false" customWidth="true" hidden="false" outlineLevel="0" max="5" min="5" style="0" width="50"/>
    <col collapsed="false" customWidth="true" hidden="false" outlineLevel="0" max="6" min="6" style="0" width="30"/>
    <col collapsed="false" customWidth="true" hidden="false" outlineLevel="0" max="8" min="7" style="0" width="9"/>
    <col collapsed="false" customWidth="true" hidden="false" outlineLevel="0" max="9" min="9" style="0" width="40"/>
    <col collapsed="false" customWidth="true" hidden="false" outlineLevel="0" max="10" min="10" style="0" width="26"/>
    <col collapsed="false" customWidth="true" hidden="false" outlineLevel="0" max="12" min="11" style="0" width="12"/>
  </cols>
  <sheetData>
    <row r="1" customFormat="false" ht="17.35" hidden="false" customHeight="false" outlineLevel="0" collapsed="false">
      <c r="A1" s="17" t="s">
        <v>778</v>
      </c>
    </row>
    <row r="2" customFormat="false" ht="30" hidden="false" customHeight="true" outlineLevel="0" collapsed="false">
      <c r="A2" s="21" t="s">
        <v>779</v>
      </c>
      <c r="B2" s="21"/>
      <c r="C2" s="21"/>
      <c r="D2" s="21"/>
      <c r="E2" s="21"/>
      <c r="F2" s="21"/>
      <c r="G2" s="21"/>
      <c r="H2" s="21"/>
      <c r="I2" s="21"/>
      <c r="J2" s="21"/>
      <c r="K2" s="21"/>
      <c r="L2" s="21"/>
    </row>
    <row r="4" customFormat="false" ht="30" hidden="false" customHeight="true" outlineLevel="0" collapsed="false">
      <c r="A4" s="7" t="s">
        <v>187</v>
      </c>
      <c r="B4" s="7" t="s">
        <v>188</v>
      </c>
      <c r="C4" s="7" t="s">
        <v>189</v>
      </c>
      <c r="D4" s="7" t="s">
        <v>74</v>
      </c>
      <c r="E4" s="7" t="s">
        <v>190</v>
      </c>
      <c r="F4" s="7" t="s">
        <v>191</v>
      </c>
      <c r="G4" s="7" t="s">
        <v>192</v>
      </c>
      <c r="H4" s="7" t="s">
        <v>193</v>
      </c>
      <c r="I4" s="7" t="s">
        <v>194</v>
      </c>
      <c r="J4" s="7" t="s">
        <v>195</v>
      </c>
      <c r="K4" s="7" t="s">
        <v>196</v>
      </c>
      <c r="L4" s="7" t="s">
        <v>197</v>
      </c>
    </row>
    <row r="5" customFormat="false" ht="15" hidden="false" customHeight="false" outlineLevel="0" collapsed="false">
      <c r="A5" s="22" t="s">
        <v>780</v>
      </c>
      <c r="B5" s="22"/>
      <c r="C5" s="22"/>
      <c r="D5" s="22"/>
      <c r="E5" s="22"/>
      <c r="F5" s="22"/>
      <c r="G5" s="22"/>
      <c r="H5" s="22"/>
      <c r="I5" s="22"/>
      <c r="J5" s="22"/>
      <c r="K5" s="22"/>
      <c r="L5" s="22"/>
    </row>
    <row r="6" customFormat="false" ht="23.85" hidden="false" customHeight="false" outlineLevel="0" collapsed="false">
      <c r="A6" s="9" t="s">
        <v>781</v>
      </c>
      <c r="B6" s="20" t="s">
        <v>782</v>
      </c>
      <c r="C6" s="19" t="s">
        <v>783</v>
      </c>
      <c r="D6" s="20" t="s">
        <v>784</v>
      </c>
      <c r="E6" s="20" t="s">
        <v>785</v>
      </c>
      <c r="F6" s="20" t="s">
        <v>786</v>
      </c>
      <c r="G6" s="9" t="s">
        <v>204</v>
      </c>
      <c r="H6" s="9" t="s">
        <v>205</v>
      </c>
      <c r="I6" s="20" t="s">
        <v>163</v>
      </c>
      <c r="J6" s="20" t="s">
        <v>787</v>
      </c>
      <c r="K6" s="23"/>
      <c r="L6" s="24" t="s">
        <v>208</v>
      </c>
    </row>
    <row r="7" customFormat="false" ht="23.85" hidden="false" customHeight="false" outlineLevel="0" collapsed="false">
      <c r="A7" s="9" t="s">
        <v>788</v>
      </c>
      <c r="B7" s="20" t="s">
        <v>782</v>
      </c>
      <c r="C7" s="19" t="s">
        <v>789</v>
      </c>
      <c r="D7" s="20" t="s">
        <v>790</v>
      </c>
      <c r="E7" s="20" t="s">
        <v>791</v>
      </c>
      <c r="F7" s="20" t="s">
        <v>163</v>
      </c>
      <c r="G7" s="9" t="s">
        <v>234</v>
      </c>
      <c r="H7" s="9" t="s">
        <v>205</v>
      </c>
      <c r="I7" s="20" t="s">
        <v>163</v>
      </c>
      <c r="J7" s="20" t="s">
        <v>16</v>
      </c>
      <c r="K7" s="23"/>
      <c r="L7" s="24" t="s">
        <v>208</v>
      </c>
    </row>
    <row r="8" customFormat="false" ht="23.85" hidden="false" customHeight="false" outlineLevel="0" collapsed="false">
      <c r="A8" s="9" t="s">
        <v>792</v>
      </c>
      <c r="B8" s="20" t="s">
        <v>793</v>
      </c>
      <c r="C8" s="19" t="s">
        <v>794</v>
      </c>
      <c r="D8" s="20" t="s">
        <v>795</v>
      </c>
      <c r="E8" s="20" t="s">
        <v>796</v>
      </c>
      <c r="F8" s="20" t="s">
        <v>163</v>
      </c>
      <c r="G8" s="9" t="s">
        <v>204</v>
      </c>
      <c r="H8" s="9" t="s">
        <v>205</v>
      </c>
      <c r="I8" s="20" t="s">
        <v>163</v>
      </c>
      <c r="J8" s="20" t="s">
        <v>16</v>
      </c>
      <c r="K8" s="23"/>
      <c r="L8" s="24" t="s">
        <v>208</v>
      </c>
    </row>
    <row r="9" customFormat="false" ht="35.05" hidden="false" customHeight="false" outlineLevel="0" collapsed="false">
      <c r="A9" s="9" t="s">
        <v>150</v>
      </c>
      <c r="B9" s="20" t="s">
        <v>399</v>
      </c>
      <c r="C9" s="19" t="s">
        <v>797</v>
      </c>
      <c r="D9" s="20" t="s">
        <v>798</v>
      </c>
      <c r="E9" s="20" t="s">
        <v>799</v>
      </c>
      <c r="F9" s="20" t="s">
        <v>800</v>
      </c>
      <c r="G9" s="9" t="s">
        <v>204</v>
      </c>
      <c r="H9" s="9" t="s">
        <v>205</v>
      </c>
      <c r="I9" s="20" t="s">
        <v>801</v>
      </c>
      <c r="J9" s="20" t="s">
        <v>802</v>
      </c>
      <c r="K9" s="23"/>
      <c r="L9" s="24" t="s">
        <v>208</v>
      </c>
    </row>
    <row r="10" customFormat="false" ht="23.85" hidden="false" customHeight="false" outlineLevel="0" collapsed="false">
      <c r="A10" s="9" t="s">
        <v>803</v>
      </c>
      <c r="B10" s="20" t="s">
        <v>752</v>
      </c>
      <c r="C10" s="19" t="s">
        <v>804</v>
      </c>
      <c r="D10" s="20" t="s">
        <v>805</v>
      </c>
      <c r="E10" s="20" t="s">
        <v>806</v>
      </c>
      <c r="F10" s="20" t="s">
        <v>163</v>
      </c>
      <c r="G10" s="9" t="s">
        <v>204</v>
      </c>
      <c r="H10" s="9" t="s">
        <v>205</v>
      </c>
      <c r="I10" s="20" t="s">
        <v>163</v>
      </c>
      <c r="J10" s="20" t="s">
        <v>807</v>
      </c>
      <c r="K10" s="23"/>
      <c r="L10" s="24" t="s">
        <v>208</v>
      </c>
    </row>
    <row r="11" customFormat="false" ht="23.85" hidden="false" customHeight="false" outlineLevel="0" collapsed="false">
      <c r="A11" s="9" t="s">
        <v>808</v>
      </c>
      <c r="B11" s="20" t="s">
        <v>809</v>
      </c>
      <c r="C11" s="19" t="s">
        <v>810</v>
      </c>
      <c r="D11" s="20" t="s">
        <v>811</v>
      </c>
      <c r="E11" s="20" t="s">
        <v>812</v>
      </c>
      <c r="F11" s="20" t="s">
        <v>163</v>
      </c>
      <c r="G11" s="9" t="s">
        <v>410</v>
      </c>
      <c r="H11" s="9" t="s">
        <v>205</v>
      </c>
      <c r="I11" s="20" t="s">
        <v>163</v>
      </c>
      <c r="J11" s="20" t="s">
        <v>813</v>
      </c>
      <c r="K11" s="23"/>
      <c r="L11" s="24" t="s">
        <v>208</v>
      </c>
    </row>
    <row r="12" customFormat="false" ht="15" hidden="false" customHeight="false" outlineLevel="0" collapsed="false">
      <c r="A12" s="9" t="s">
        <v>814</v>
      </c>
      <c r="B12" s="20" t="s">
        <v>815</v>
      </c>
      <c r="C12" s="19" t="s">
        <v>816</v>
      </c>
      <c r="D12" s="20" t="s">
        <v>817</v>
      </c>
      <c r="E12" s="20" t="s">
        <v>818</v>
      </c>
      <c r="F12" s="20" t="s">
        <v>163</v>
      </c>
      <c r="G12" s="9" t="s">
        <v>410</v>
      </c>
      <c r="H12" s="9" t="s">
        <v>205</v>
      </c>
      <c r="I12" s="20" t="s">
        <v>163</v>
      </c>
      <c r="J12" s="20" t="s">
        <v>819</v>
      </c>
      <c r="K12" s="23"/>
      <c r="L12" s="24" t="s">
        <v>208</v>
      </c>
    </row>
  </sheetData>
  <autoFilter ref="A4:L12"/>
  <mergeCells count="2">
    <mergeCell ref="A2:L2"/>
    <mergeCell ref="A5:L5"/>
  </mergeCells>
  <conditionalFormatting sqref="G5:G12">
    <cfRule type="cellIs" priority="2" operator="equal" aboveAverage="0" equalAverage="0" bottom="0" percent="0" rank="0" text="" dxfId="18">
      <formula>"Must"</formula>
    </cfRule>
    <cfRule type="cellIs" priority="3" operator="equal" aboveAverage="0" equalAverage="0" bottom="0" percent="0" rank="0" text="" dxfId="19">
      <formula>"Should"</formula>
    </cfRule>
    <cfRule type="cellIs" priority="4" operator="equal" aboveAverage="0" equalAverage="0" bottom="0" percent="0" rank="0" text="" dxfId="20">
      <formula>"Nice"</formula>
    </cfRule>
  </conditionalFormatting>
  <conditionalFormatting sqref="H5:H12">
    <cfRule type="cellIs" priority="5" operator="equal" aboveAverage="0" equalAverage="0" bottom="0" percent="0" rank="0" text="" dxfId="21">
      <formula>"High"</formula>
    </cfRule>
    <cfRule type="cellIs" priority="6" operator="equal" aboveAverage="0" equalAverage="0" bottom="0" percent="0" rank="0" text="" dxfId="22">
      <formula>"Medium"</formula>
    </cfRule>
    <cfRule type="cellIs" priority="7" operator="equal" aboveAverage="0" equalAverage="0" bottom="0" percent="0" rank="0" text="" dxfId="23">
      <formula>"Low"</formula>
    </cfRule>
  </conditionalFormatting>
  <conditionalFormatting sqref="L5:L12">
    <cfRule type="cellIs" priority="8" operator="equal" aboveAverage="0" equalAverage="0" bottom="0" percent="0" rank="0" text="" dxfId="24">
      <formula>"Done"</formula>
    </cfRule>
    <cfRule type="cellIs" priority="9" operator="equal" aboveAverage="0" equalAverage="0" bottom="0" percent="0" rank="0" text="" dxfId="21">
      <formula>"Blocked"</formula>
    </cfRule>
    <cfRule type="cellIs" priority="10" operator="equal" aboveAverage="0" equalAverage="0" bottom="0" percent="0" rank="0" text="" dxfId="25">
      <formula>"In progress"</formula>
    </cfRule>
  </conditionalFormatting>
  <conditionalFormatting sqref="F5:F12">
    <cfRule type="expression" priority="11" aboveAverage="0" equalAverage="0" bottom="0" percent="0" rank="0" text="" dxfId="26">
      <formula>LEFT(F5,7)="PROBLEM"</formula>
    </cfRule>
    <cfRule type="expression" priority="12" aboveAverage="0" equalAverage="0" bottom="0" percent="0" rank="0" text="" dxfId="27">
      <formula>LEFT(F5,2)="OK"</formula>
    </cfRule>
  </conditionalFormatting>
  <dataValidations count="1">
    <dataValidation allowBlank="true" errorStyle="stop" operator="between" showDropDown="false" showErrorMessage="false" showInputMessage="false" sqref="L5:L12" type="list">
      <formula1>"Not started,In progress,Done,Blocked,Not needed"</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55A11"/>
    <pageSetUpPr fitToPage="false"/>
  </sheetPr>
  <dimension ref="A1:L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6"/>
    <col collapsed="false" customWidth="true" hidden="false" outlineLevel="0" max="2" min="2" style="0" width="14"/>
    <col collapsed="false" customWidth="true" hidden="false" outlineLevel="0" max="3" min="3" style="0" width="30"/>
    <col collapsed="false" customWidth="true" hidden="false" outlineLevel="0" max="4" min="4" style="0" width="44"/>
    <col collapsed="false" customWidth="true" hidden="false" outlineLevel="0" max="5" min="5" style="0" width="50"/>
    <col collapsed="false" customWidth="true" hidden="false" outlineLevel="0" max="6" min="6" style="0" width="30"/>
    <col collapsed="false" customWidth="true" hidden="false" outlineLevel="0" max="8" min="7" style="0" width="9"/>
    <col collapsed="false" customWidth="true" hidden="false" outlineLevel="0" max="9" min="9" style="0" width="40"/>
    <col collapsed="false" customWidth="true" hidden="false" outlineLevel="0" max="10" min="10" style="0" width="26"/>
    <col collapsed="false" customWidth="true" hidden="false" outlineLevel="0" max="12" min="11" style="0" width="12"/>
  </cols>
  <sheetData>
    <row r="1" customFormat="false" ht="17.35" hidden="false" customHeight="false" outlineLevel="0" collapsed="false">
      <c r="A1" s="17" t="s">
        <v>820</v>
      </c>
    </row>
    <row r="2" customFormat="false" ht="30" hidden="false" customHeight="true" outlineLevel="0" collapsed="false">
      <c r="A2" s="21" t="s">
        <v>821</v>
      </c>
      <c r="B2" s="21"/>
      <c r="C2" s="21"/>
      <c r="D2" s="21"/>
      <c r="E2" s="21"/>
      <c r="F2" s="21"/>
      <c r="G2" s="21"/>
      <c r="H2" s="21"/>
      <c r="I2" s="21"/>
      <c r="J2" s="21"/>
      <c r="K2" s="21"/>
      <c r="L2" s="21"/>
    </row>
    <row r="4" customFormat="false" ht="30" hidden="false" customHeight="true" outlineLevel="0" collapsed="false">
      <c r="A4" s="7" t="s">
        <v>187</v>
      </c>
      <c r="B4" s="7" t="s">
        <v>188</v>
      </c>
      <c r="C4" s="7" t="s">
        <v>189</v>
      </c>
      <c r="D4" s="7" t="s">
        <v>74</v>
      </c>
      <c r="E4" s="7" t="s">
        <v>190</v>
      </c>
      <c r="F4" s="7" t="s">
        <v>191</v>
      </c>
      <c r="G4" s="7" t="s">
        <v>192</v>
      </c>
      <c r="H4" s="7" t="s">
        <v>193</v>
      </c>
      <c r="I4" s="7" t="s">
        <v>194</v>
      </c>
      <c r="J4" s="7" t="s">
        <v>195</v>
      </c>
      <c r="K4" s="7" t="s">
        <v>196</v>
      </c>
      <c r="L4" s="7" t="s">
        <v>197</v>
      </c>
    </row>
    <row r="5" customFormat="false" ht="15" hidden="false" customHeight="false" outlineLevel="0" collapsed="false">
      <c r="A5" s="22" t="s">
        <v>822</v>
      </c>
      <c r="B5" s="22"/>
      <c r="C5" s="22"/>
      <c r="D5" s="22"/>
      <c r="E5" s="22"/>
      <c r="F5" s="22"/>
      <c r="G5" s="22"/>
      <c r="H5" s="22"/>
      <c r="I5" s="22"/>
      <c r="J5" s="22"/>
      <c r="K5" s="22"/>
      <c r="L5" s="22"/>
    </row>
    <row r="6" customFormat="false" ht="46.25" hidden="false" customHeight="false" outlineLevel="0" collapsed="false">
      <c r="A6" s="9" t="s">
        <v>823</v>
      </c>
      <c r="B6" s="20" t="s">
        <v>399</v>
      </c>
      <c r="C6" s="19" t="s">
        <v>824</v>
      </c>
      <c r="D6" s="20" t="s">
        <v>825</v>
      </c>
      <c r="E6" s="20" t="s">
        <v>826</v>
      </c>
      <c r="F6" s="20" t="s">
        <v>241</v>
      </c>
      <c r="G6" s="9" t="s">
        <v>204</v>
      </c>
      <c r="H6" s="9" t="s">
        <v>205</v>
      </c>
      <c r="I6" s="20" t="s">
        <v>827</v>
      </c>
      <c r="J6" s="20" t="s">
        <v>828</v>
      </c>
      <c r="K6" s="23"/>
      <c r="L6" s="24" t="s">
        <v>208</v>
      </c>
    </row>
    <row r="7" customFormat="false" ht="46.25" hidden="false" customHeight="false" outlineLevel="0" collapsed="false">
      <c r="A7" s="9" t="s">
        <v>176</v>
      </c>
      <c r="B7" s="20" t="s">
        <v>829</v>
      </c>
      <c r="C7" s="19" t="s">
        <v>830</v>
      </c>
      <c r="D7" s="20" t="s">
        <v>831</v>
      </c>
      <c r="E7" s="20" t="s">
        <v>832</v>
      </c>
      <c r="F7" s="20" t="s">
        <v>833</v>
      </c>
      <c r="G7" s="9" t="s">
        <v>234</v>
      </c>
      <c r="H7" s="9" t="s">
        <v>205</v>
      </c>
      <c r="I7" s="20" t="s">
        <v>834</v>
      </c>
      <c r="J7" s="20" t="s">
        <v>835</v>
      </c>
      <c r="K7" s="23"/>
      <c r="L7" s="24" t="s">
        <v>208</v>
      </c>
    </row>
    <row r="8" customFormat="false" ht="46.25" hidden="false" customHeight="false" outlineLevel="0" collapsed="false">
      <c r="A8" s="9" t="s">
        <v>836</v>
      </c>
      <c r="B8" s="20" t="s">
        <v>648</v>
      </c>
      <c r="C8" s="19" t="s">
        <v>837</v>
      </c>
      <c r="D8" s="20" t="s">
        <v>838</v>
      </c>
      <c r="E8" s="20" t="s">
        <v>839</v>
      </c>
      <c r="F8" s="20" t="s">
        <v>241</v>
      </c>
      <c r="G8" s="9" t="s">
        <v>234</v>
      </c>
      <c r="H8" s="9" t="s">
        <v>205</v>
      </c>
      <c r="I8" s="20" t="s">
        <v>163</v>
      </c>
      <c r="J8" s="20" t="s">
        <v>840</v>
      </c>
      <c r="K8" s="23"/>
      <c r="L8" s="24" t="s">
        <v>208</v>
      </c>
    </row>
    <row r="9" customFormat="false" ht="23.85" hidden="false" customHeight="false" outlineLevel="0" collapsed="false">
      <c r="A9" s="9" t="s">
        <v>841</v>
      </c>
      <c r="B9" s="20" t="s">
        <v>842</v>
      </c>
      <c r="C9" s="19" t="s">
        <v>843</v>
      </c>
      <c r="D9" s="20" t="s">
        <v>844</v>
      </c>
      <c r="E9" s="20" t="s">
        <v>845</v>
      </c>
      <c r="F9" s="20" t="s">
        <v>241</v>
      </c>
      <c r="G9" s="9" t="s">
        <v>410</v>
      </c>
      <c r="H9" s="9" t="s">
        <v>205</v>
      </c>
      <c r="I9" s="20" t="s">
        <v>846</v>
      </c>
      <c r="J9" s="20" t="s">
        <v>847</v>
      </c>
      <c r="K9" s="23"/>
      <c r="L9" s="24" t="s">
        <v>208</v>
      </c>
    </row>
    <row r="10" customFormat="false" ht="15" hidden="false" customHeight="false" outlineLevel="0" collapsed="false">
      <c r="A10" s="22" t="s">
        <v>848</v>
      </c>
      <c r="B10" s="22"/>
      <c r="C10" s="22"/>
      <c r="D10" s="22"/>
      <c r="E10" s="22"/>
      <c r="F10" s="22"/>
      <c r="G10" s="22"/>
      <c r="H10" s="22"/>
      <c r="I10" s="22"/>
      <c r="J10" s="22"/>
      <c r="K10" s="22"/>
      <c r="L10" s="22"/>
    </row>
    <row r="11" customFormat="false" ht="35.05" hidden="false" customHeight="false" outlineLevel="0" collapsed="false">
      <c r="A11" s="9" t="s">
        <v>849</v>
      </c>
      <c r="B11" s="20" t="s">
        <v>850</v>
      </c>
      <c r="C11" s="19" t="s">
        <v>851</v>
      </c>
      <c r="D11" s="20" t="s">
        <v>852</v>
      </c>
      <c r="E11" s="20" t="s">
        <v>853</v>
      </c>
      <c r="F11" s="20" t="s">
        <v>530</v>
      </c>
      <c r="G11" s="9" t="s">
        <v>204</v>
      </c>
      <c r="H11" s="9" t="s">
        <v>205</v>
      </c>
      <c r="I11" s="20" t="s">
        <v>854</v>
      </c>
      <c r="J11" s="20" t="s">
        <v>855</v>
      </c>
      <c r="K11" s="23"/>
      <c r="L11" s="24" t="s">
        <v>208</v>
      </c>
    </row>
    <row r="12" customFormat="false" ht="23.85" hidden="false" customHeight="false" outlineLevel="0" collapsed="false">
      <c r="A12" s="9" t="s">
        <v>856</v>
      </c>
      <c r="B12" s="20" t="s">
        <v>850</v>
      </c>
      <c r="C12" s="19" t="s">
        <v>857</v>
      </c>
      <c r="D12" s="20" t="s">
        <v>858</v>
      </c>
      <c r="E12" s="20" t="s">
        <v>859</v>
      </c>
      <c r="F12" s="20" t="s">
        <v>241</v>
      </c>
      <c r="G12" s="9" t="s">
        <v>410</v>
      </c>
      <c r="H12" s="9" t="s">
        <v>205</v>
      </c>
      <c r="I12" s="20" t="s">
        <v>860</v>
      </c>
      <c r="J12" s="20" t="s">
        <v>861</v>
      </c>
      <c r="K12" s="23"/>
      <c r="L12" s="24" t="s">
        <v>208</v>
      </c>
    </row>
    <row r="13" customFormat="false" ht="23.85" hidden="false" customHeight="false" outlineLevel="0" collapsed="false">
      <c r="A13" s="9" t="s">
        <v>862</v>
      </c>
      <c r="B13" s="20" t="s">
        <v>863</v>
      </c>
      <c r="C13" s="19" t="s">
        <v>864</v>
      </c>
      <c r="D13" s="20" t="s">
        <v>865</v>
      </c>
      <c r="E13" s="20" t="s">
        <v>866</v>
      </c>
      <c r="F13" s="20" t="s">
        <v>241</v>
      </c>
      <c r="G13" s="9" t="s">
        <v>234</v>
      </c>
      <c r="H13" s="9" t="s">
        <v>205</v>
      </c>
      <c r="I13" s="20" t="s">
        <v>163</v>
      </c>
      <c r="J13" s="20" t="s">
        <v>867</v>
      </c>
      <c r="K13" s="23"/>
      <c r="L13" s="24" t="s">
        <v>208</v>
      </c>
    </row>
    <row r="14" customFormat="false" ht="23.85" hidden="false" customHeight="false" outlineLevel="0" collapsed="false">
      <c r="A14" s="9" t="s">
        <v>868</v>
      </c>
      <c r="B14" s="20" t="s">
        <v>245</v>
      </c>
      <c r="C14" s="19" t="s">
        <v>869</v>
      </c>
      <c r="D14" s="20" t="s">
        <v>870</v>
      </c>
      <c r="E14" s="20" t="s">
        <v>871</v>
      </c>
      <c r="F14" s="20" t="s">
        <v>241</v>
      </c>
      <c r="G14" s="9" t="s">
        <v>204</v>
      </c>
      <c r="H14" s="9" t="s">
        <v>205</v>
      </c>
      <c r="I14" s="20" t="s">
        <v>163</v>
      </c>
      <c r="J14" s="20" t="s">
        <v>872</v>
      </c>
      <c r="K14" s="23"/>
      <c r="L14" s="24" t="s">
        <v>208</v>
      </c>
    </row>
    <row r="15" customFormat="false" ht="15" hidden="false" customHeight="false" outlineLevel="0" collapsed="false">
      <c r="A15" s="22" t="s">
        <v>873</v>
      </c>
      <c r="B15" s="22"/>
      <c r="C15" s="22"/>
      <c r="D15" s="22"/>
      <c r="E15" s="22"/>
      <c r="F15" s="22"/>
      <c r="G15" s="22"/>
      <c r="H15" s="22"/>
      <c r="I15" s="22"/>
      <c r="J15" s="22"/>
      <c r="K15" s="22"/>
      <c r="L15" s="22"/>
    </row>
    <row r="16" customFormat="false" ht="23.85" hidden="false" customHeight="false" outlineLevel="0" collapsed="false">
      <c r="A16" s="9" t="s">
        <v>874</v>
      </c>
      <c r="B16" s="20" t="s">
        <v>752</v>
      </c>
      <c r="C16" s="19" t="s">
        <v>875</v>
      </c>
      <c r="D16" s="20" t="s">
        <v>876</v>
      </c>
      <c r="E16" s="20" t="s">
        <v>877</v>
      </c>
      <c r="F16" s="20" t="s">
        <v>241</v>
      </c>
      <c r="G16" s="9" t="s">
        <v>204</v>
      </c>
      <c r="H16" s="9" t="s">
        <v>205</v>
      </c>
      <c r="I16" s="20" t="s">
        <v>878</v>
      </c>
      <c r="J16" s="20" t="s">
        <v>807</v>
      </c>
      <c r="K16" s="23"/>
      <c r="L16" s="24" t="s">
        <v>208</v>
      </c>
    </row>
    <row r="17" customFormat="false" ht="23.85" hidden="false" customHeight="false" outlineLevel="0" collapsed="false">
      <c r="A17" s="9" t="s">
        <v>879</v>
      </c>
      <c r="B17" s="20" t="s">
        <v>760</v>
      </c>
      <c r="C17" s="19" t="s">
        <v>880</v>
      </c>
      <c r="D17" s="20" t="s">
        <v>881</v>
      </c>
      <c r="E17" s="20" t="s">
        <v>882</v>
      </c>
      <c r="F17" s="20" t="s">
        <v>241</v>
      </c>
      <c r="G17" s="9" t="s">
        <v>204</v>
      </c>
      <c r="H17" s="9" t="s">
        <v>205</v>
      </c>
      <c r="I17" s="20" t="s">
        <v>883</v>
      </c>
      <c r="J17" s="20" t="s">
        <v>884</v>
      </c>
      <c r="K17" s="23"/>
      <c r="L17" s="24" t="s">
        <v>208</v>
      </c>
    </row>
    <row r="18" customFormat="false" ht="23.85" hidden="false" customHeight="false" outlineLevel="0" collapsed="false">
      <c r="A18" s="9" t="s">
        <v>885</v>
      </c>
      <c r="B18" s="20" t="s">
        <v>886</v>
      </c>
      <c r="C18" s="19" t="s">
        <v>887</v>
      </c>
      <c r="D18" s="20" t="s">
        <v>888</v>
      </c>
      <c r="E18" s="20" t="s">
        <v>889</v>
      </c>
      <c r="F18" s="20" t="s">
        <v>241</v>
      </c>
      <c r="G18" s="9" t="s">
        <v>234</v>
      </c>
      <c r="H18" s="9" t="s">
        <v>205</v>
      </c>
      <c r="I18" s="20" t="s">
        <v>163</v>
      </c>
      <c r="J18" s="20" t="s">
        <v>890</v>
      </c>
      <c r="K18" s="23"/>
      <c r="L18" s="24" t="s">
        <v>208</v>
      </c>
    </row>
  </sheetData>
  <autoFilter ref="A4:L18"/>
  <mergeCells count="4">
    <mergeCell ref="A2:L2"/>
    <mergeCell ref="A5:L5"/>
    <mergeCell ref="A10:L10"/>
    <mergeCell ref="A15:L15"/>
  </mergeCells>
  <conditionalFormatting sqref="G5:G18">
    <cfRule type="cellIs" priority="2" operator="equal" aboveAverage="0" equalAverage="0" bottom="0" percent="0" rank="0" text="" dxfId="18">
      <formula>"Must"</formula>
    </cfRule>
    <cfRule type="cellIs" priority="3" operator="equal" aboveAverage="0" equalAverage="0" bottom="0" percent="0" rank="0" text="" dxfId="19">
      <formula>"Should"</formula>
    </cfRule>
    <cfRule type="cellIs" priority="4" operator="equal" aboveAverage="0" equalAverage="0" bottom="0" percent="0" rank="0" text="" dxfId="20">
      <formula>"Nice"</formula>
    </cfRule>
  </conditionalFormatting>
  <conditionalFormatting sqref="H5:H18">
    <cfRule type="cellIs" priority="5" operator="equal" aboveAverage="0" equalAverage="0" bottom="0" percent="0" rank="0" text="" dxfId="21">
      <formula>"High"</formula>
    </cfRule>
    <cfRule type="cellIs" priority="6" operator="equal" aboveAverage="0" equalAverage="0" bottom="0" percent="0" rank="0" text="" dxfId="22">
      <formula>"Medium"</formula>
    </cfRule>
    <cfRule type="cellIs" priority="7" operator="equal" aboveAverage="0" equalAverage="0" bottom="0" percent="0" rank="0" text="" dxfId="23">
      <formula>"Low"</formula>
    </cfRule>
  </conditionalFormatting>
  <conditionalFormatting sqref="L5:L18">
    <cfRule type="cellIs" priority="8" operator="equal" aboveAverage="0" equalAverage="0" bottom="0" percent="0" rank="0" text="" dxfId="24">
      <formula>"Done"</formula>
    </cfRule>
    <cfRule type="cellIs" priority="9" operator="equal" aboveAverage="0" equalAverage="0" bottom="0" percent="0" rank="0" text="" dxfId="21">
      <formula>"Blocked"</formula>
    </cfRule>
    <cfRule type="cellIs" priority="10" operator="equal" aboveAverage="0" equalAverage="0" bottom="0" percent="0" rank="0" text="" dxfId="25">
      <formula>"In progress"</formula>
    </cfRule>
  </conditionalFormatting>
  <conditionalFormatting sqref="F5:F18">
    <cfRule type="expression" priority="11" aboveAverage="0" equalAverage="0" bottom="0" percent="0" rank="0" text="" dxfId="26">
      <formula>LEFT(F5,7)="PROBLEM"</formula>
    </cfRule>
    <cfRule type="expression" priority="12" aboveAverage="0" equalAverage="0" bottom="0" percent="0" rank="0" text="" dxfId="27">
      <formula>LEFT(F5,2)="OK"</formula>
    </cfRule>
  </conditionalFormatting>
  <dataValidations count="1">
    <dataValidation allowBlank="true" errorStyle="stop" operator="between" showDropDown="false" showErrorMessage="false" showInputMessage="false" sqref="L5:L18" type="list">
      <formula1>"Not started,In progress,Done,Blocked,Not needed"</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4E79"/>
    <pageSetUpPr fitToPage="false"/>
  </sheetPr>
  <dimension ref="A1:L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6"/>
    <col collapsed="false" customWidth="true" hidden="false" outlineLevel="0" max="2" min="2" style="0" width="14"/>
    <col collapsed="false" customWidth="true" hidden="false" outlineLevel="0" max="3" min="3" style="0" width="30"/>
    <col collapsed="false" customWidth="true" hidden="false" outlineLevel="0" max="4" min="4" style="0" width="44"/>
    <col collapsed="false" customWidth="true" hidden="false" outlineLevel="0" max="5" min="5" style="0" width="50"/>
    <col collapsed="false" customWidth="true" hidden="false" outlineLevel="0" max="6" min="6" style="0" width="30"/>
    <col collapsed="false" customWidth="true" hidden="false" outlineLevel="0" max="8" min="7" style="0" width="9"/>
    <col collapsed="false" customWidth="true" hidden="false" outlineLevel="0" max="9" min="9" style="0" width="40"/>
    <col collapsed="false" customWidth="true" hidden="false" outlineLevel="0" max="10" min="10" style="0" width="26"/>
    <col collapsed="false" customWidth="true" hidden="false" outlineLevel="0" max="12" min="11" style="0" width="12"/>
  </cols>
  <sheetData>
    <row r="1" customFormat="false" ht="17.35" hidden="false" customHeight="false" outlineLevel="0" collapsed="false">
      <c r="A1" s="17" t="s">
        <v>891</v>
      </c>
    </row>
    <row r="2" customFormat="false" ht="30" hidden="false" customHeight="true" outlineLevel="0" collapsed="false">
      <c r="A2" s="21" t="s">
        <v>892</v>
      </c>
      <c r="B2" s="21"/>
      <c r="C2" s="21"/>
      <c r="D2" s="21"/>
      <c r="E2" s="21"/>
      <c r="F2" s="21"/>
      <c r="G2" s="21"/>
      <c r="H2" s="21"/>
      <c r="I2" s="21"/>
      <c r="J2" s="21"/>
      <c r="K2" s="21"/>
      <c r="L2" s="21"/>
    </row>
    <row r="4" customFormat="false" ht="30" hidden="false" customHeight="true" outlineLevel="0" collapsed="false">
      <c r="A4" s="7" t="s">
        <v>187</v>
      </c>
      <c r="B4" s="7" t="s">
        <v>188</v>
      </c>
      <c r="C4" s="7" t="s">
        <v>189</v>
      </c>
      <c r="D4" s="7" t="s">
        <v>74</v>
      </c>
      <c r="E4" s="7" t="s">
        <v>190</v>
      </c>
      <c r="F4" s="7" t="s">
        <v>191</v>
      </c>
      <c r="G4" s="7" t="s">
        <v>192</v>
      </c>
      <c r="H4" s="7" t="s">
        <v>193</v>
      </c>
      <c r="I4" s="7" t="s">
        <v>194</v>
      </c>
      <c r="J4" s="7" t="s">
        <v>195</v>
      </c>
      <c r="K4" s="7" t="s">
        <v>196</v>
      </c>
      <c r="L4" s="7" t="s">
        <v>197</v>
      </c>
    </row>
    <row r="5" customFormat="false" ht="15" hidden="false" customHeight="false" outlineLevel="0" collapsed="false">
      <c r="A5" s="22" t="s">
        <v>893</v>
      </c>
      <c r="B5" s="22"/>
      <c r="C5" s="22"/>
      <c r="D5" s="22"/>
      <c r="E5" s="22"/>
      <c r="F5" s="22"/>
      <c r="G5" s="22"/>
      <c r="H5" s="22"/>
      <c r="I5" s="22"/>
      <c r="J5" s="22"/>
      <c r="K5" s="22"/>
      <c r="L5" s="22"/>
    </row>
    <row r="6" customFormat="false" ht="35.05" hidden="false" customHeight="false" outlineLevel="0" collapsed="false">
      <c r="A6" s="9" t="s">
        <v>894</v>
      </c>
      <c r="B6" s="20" t="s">
        <v>895</v>
      </c>
      <c r="C6" s="19" t="s">
        <v>896</v>
      </c>
      <c r="D6" s="20" t="s">
        <v>897</v>
      </c>
      <c r="E6" s="20" t="s">
        <v>898</v>
      </c>
      <c r="F6" s="20" t="s">
        <v>241</v>
      </c>
      <c r="G6" s="9" t="s">
        <v>204</v>
      </c>
      <c r="H6" s="9" t="s">
        <v>205</v>
      </c>
      <c r="I6" s="20" t="s">
        <v>163</v>
      </c>
      <c r="J6" s="20" t="s">
        <v>899</v>
      </c>
      <c r="K6" s="23"/>
      <c r="L6" s="24" t="s">
        <v>208</v>
      </c>
    </row>
    <row r="7" customFormat="false" ht="23.85" hidden="false" customHeight="false" outlineLevel="0" collapsed="false">
      <c r="A7" s="9" t="s">
        <v>900</v>
      </c>
      <c r="B7" s="20" t="s">
        <v>901</v>
      </c>
      <c r="C7" s="19" t="s">
        <v>902</v>
      </c>
      <c r="D7" s="20" t="s">
        <v>903</v>
      </c>
      <c r="E7" s="20" t="s">
        <v>904</v>
      </c>
      <c r="F7" s="20" t="s">
        <v>241</v>
      </c>
      <c r="G7" s="9" t="s">
        <v>234</v>
      </c>
      <c r="H7" s="9" t="s">
        <v>205</v>
      </c>
      <c r="I7" s="20" t="s">
        <v>905</v>
      </c>
      <c r="J7" s="20" t="s">
        <v>906</v>
      </c>
      <c r="K7" s="23"/>
      <c r="L7" s="24" t="s">
        <v>208</v>
      </c>
    </row>
    <row r="8" customFormat="false" ht="23.85" hidden="false" customHeight="false" outlineLevel="0" collapsed="false">
      <c r="A8" s="9" t="s">
        <v>907</v>
      </c>
      <c r="B8" s="20" t="s">
        <v>908</v>
      </c>
      <c r="C8" s="19" t="s">
        <v>909</v>
      </c>
      <c r="D8" s="20" t="s">
        <v>910</v>
      </c>
      <c r="E8" s="20" t="s">
        <v>911</v>
      </c>
      <c r="F8" s="20" t="s">
        <v>241</v>
      </c>
      <c r="G8" s="9" t="s">
        <v>234</v>
      </c>
      <c r="H8" s="9" t="s">
        <v>205</v>
      </c>
      <c r="I8" s="20" t="s">
        <v>163</v>
      </c>
      <c r="J8" s="20" t="s">
        <v>912</v>
      </c>
      <c r="K8" s="23"/>
      <c r="L8" s="24" t="s">
        <v>208</v>
      </c>
    </row>
    <row r="9" customFormat="false" ht="23.85" hidden="false" customHeight="false" outlineLevel="0" collapsed="false">
      <c r="A9" s="9" t="s">
        <v>913</v>
      </c>
      <c r="B9" s="20" t="s">
        <v>914</v>
      </c>
      <c r="C9" s="19" t="s">
        <v>915</v>
      </c>
      <c r="D9" s="20" t="s">
        <v>916</v>
      </c>
      <c r="E9" s="20" t="s">
        <v>917</v>
      </c>
      <c r="F9" s="20" t="s">
        <v>241</v>
      </c>
      <c r="G9" s="9" t="s">
        <v>234</v>
      </c>
      <c r="H9" s="9" t="s">
        <v>205</v>
      </c>
      <c r="I9" s="20" t="s">
        <v>163</v>
      </c>
      <c r="J9" s="20" t="s">
        <v>918</v>
      </c>
      <c r="K9" s="23"/>
      <c r="L9" s="24" t="s">
        <v>208</v>
      </c>
    </row>
    <row r="10" customFormat="false" ht="23.85" hidden="false" customHeight="false" outlineLevel="0" collapsed="false">
      <c r="A10" s="9" t="s">
        <v>919</v>
      </c>
      <c r="B10" s="20" t="s">
        <v>920</v>
      </c>
      <c r="C10" s="19" t="s">
        <v>921</v>
      </c>
      <c r="D10" s="20" t="s">
        <v>922</v>
      </c>
      <c r="E10" s="20" t="s">
        <v>923</v>
      </c>
      <c r="F10" s="20" t="s">
        <v>241</v>
      </c>
      <c r="G10" s="9" t="s">
        <v>410</v>
      </c>
      <c r="H10" s="9" t="s">
        <v>205</v>
      </c>
      <c r="I10" s="20" t="s">
        <v>924</v>
      </c>
      <c r="J10" s="20" t="s">
        <v>925</v>
      </c>
      <c r="K10" s="23"/>
      <c r="L10" s="24" t="s">
        <v>208</v>
      </c>
    </row>
    <row r="11" customFormat="false" ht="23.85" hidden="false" customHeight="false" outlineLevel="0" collapsed="false">
      <c r="A11" s="9" t="s">
        <v>926</v>
      </c>
      <c r="B11" s="20" t="s">
        <v>927</v>
      </c>
      <c r="C11" s="19" t="s">
        <v>928</v>
      </c>
      <c r="D11" s="20" t="s">
        <v>929</v>
      </c>
      <c r="E11" s="20" t="s">
        <v>930</v>
      </c>
      <c r="F11" s="20" t="s">
        <v>163</v>
      </c>
      <c r="G11" s="9" t="s">
        <v>410</v>
      </c>
      <c r="H11" s="9" t="s">
        <v>205</v>
      </c>
      <c r="I11" s="20" t="s">
        <v>163</v>
      </c>
      <c r="J11" s="20" t="s">
        <v>163</v>
      </c>
      <c r="K11" s="23"/>
      <c r="L11" s="24" t="s">
        <v>208</v>
      </c>
    </row>
    <row r="12" customFormat="false" ht="23.85" hidden="false" customHeight="false" outlineLevel="0" collapsed="false">
      <c r="A12" s="9" t="s">
        <v>931</v>
      </c>
      <c r="B12" s="20" t="s">
        <v>932</v>
      </c>
      <c r="C12" s="19" t="s">
        <v>933</v>
      </c>
      <c r="D12" s="20" t="s">
        <v>934</v>
      </c>
      <c r="E12" s="20" t="s">
        <v>935</v>
      </c>
      <c r="F12" s="20" t="s">
        <v>163</v>
      </c>
      <c r="G12" s="9" t="s">
        <v>204</v>
      </c>
      <c r="H12" s="9" t="s">
        <v>205</v>
      </c>
      <c r="I12" s="20" t="s">
        <v>163</v>
      </c>
      <c r="J12" s="20" t="s">
        <v>936</v>
      </c>
      <c r="K12" s="23"/>
      <c r="L12" s="24" t="s">
        <v>208</v>
      </c>
    </row>
  </sheetData>
  <autoFilter ref="A4:L12"/>
  <mergeCells count="2">
    <mergeCell ref="A2:L2"/>
    <mergeCell ref="A5:L5"/>
  </mergeCells>
  <conditionalFormatting sqref="G5:G12">
    <cfRule type="cellIs" priority="2" operator="equal" aboveAverage="0" equalAverage="0" bottom="0" percent="0" rank="0" text="" dxfId="18">
      <formula>"Must"</formula>
    </cfRule>
    <cfRule type="cellIs" priority="3" operator="equal" aboveAverage="0" equalAverage="0" bottom="0" percent="0" rank="0" text="" dxfId="19">
      <formula>"Should"</formula>
    </cfRule>
    <cfRule type="cellIs" priority="4" operator="equal" aboveAverage="0" equalAverage="0" bottom="0" percent="0" rank="0" text="" dxfId="20">
      <formula>"Nice"</formula>
    </cfRule>
  </conditionalFormatting>
  <conditionalFormatting sqref="H5:H12">
    <cfRule type="cellIs" priority="5" operator="equal" aboveAverage="0" equalAverage="0" bottom="0" percent="0" rank="0" text="" dxfId="21">
      <formula>"High"</formula>
    </cfRule>
    <cfRule type="cellIs" priority="6" operator="equal" aboveAverage="0" equalAverage="0" bottom="0" percent="0" rank="0" text="" dxfId="22">
      <formula>"Medium"</formula>
    </cfRule>
    <cfRule type="cellIs" priority="7" operator="equal" aboveAverage="0" equalAverage="0" bottom="0" percent="0" rank="0" text="" dxfId="23">
      <formula>"Low"</formula>
    </cfRule>
  </conditionalFormatting>
  <conditionalFormatting sqref="L5:L12">
    <cfRule type="cellIs" priority="8" operator="equal" aboveAverage="0" equalAverage="0" bottom="0" percent="0" rank="0" text="" dxfId="24">
      <formula>"Done"</formula>
    </cfRule>
    <cfRule type="cellIs" priority="9" operator="equal" aboveAverage="0" equalAverage="0" bottom="0" percent="0" rank="0" text="" dxfId="21">
      <formula>"Blocked"</formula>
    </cfRule>
    <cfRule type="cellIs" priority="10" operator="equal" aboveAverage="0" equalAverage="0" bottom="0" percent="0" rank="0" text="" dxfId="25">
      <formula>"In progress"</formula>
    </cfRule>
  </conditionalFormatting>
  <conditionalFormatting sqref="F5:F12">
    <cfRule type="expression" priority="11" aboveAverage="0" equalAverage="0" bottom="0" percent="0" rank="0" text="" dxfId="26">
      <formula>LEFT(F5,7)="PROBLEM"</formula>
    </cfRule>
    <cfRule type="expression" priority="12" aboveAverage="0" equalAverage="0" bottom="0" percent="0" rank="0" text="" dxfId="27">
      <formula>LEFT(F5,2)="OK"</formula>
    </cfRule>
  </conditionalFormatting>
  <dataValidations count="1">
    <dataValidation allowBlank="true" errorStyle="stop" operator="between" showDropDown="false" showErrorMessage="false" showInputMessage="false" sqref="L5:L12" type="list">
      <formula1>"Not started,In progress,Done,Blocked,Not needed"</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0000"/>
    <pageSetUpPr fitToPage="false"/>
  </sheetPr>
  <dimension ref="A1:L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6"/>
    <col collapsed="false" customWidth="true" hidden="false" outlineLevel="0" max="2" min="2" style="0" width="14"/>
    <col collapsed="false" customWidth="true" hidden="false" outlineLevel="0" max="3" min="3" style="0" width="30"/>
    <col collapsed="false" customWidth="true" hidden="false" outlineLevel="0" max="4" min="4" style="0" width="44"/>
    <col collapsed="false" customWidth="true" hidden="false" outlineLevel="0" max="5" min="5" style="0" width="50"/>
    <col collapsed="false" customWidth="true" hidden="false" outlineLevel="0" max="6" min="6" style="0" width="30"/>
    <col collapsed="false" customWidth="true" hidden="false" outlineLevel="0" max="8" min="7" style="0" width="9"/>
    <col collapsed="false" customWidth="true" hidden="false" outlineLevel="0" max="9" min="9" style="0" width="40"/>
    <col collapsed="false" customWidth="true" hidden="false" outlineLevel="0" max="10" min="10" style="0" width="26"/>
    <col collapsed="false" customWidth="true" hidden="false" outlineLevel="0" max="12" min="11" style="0" width="12"/>
  </cols>
  <sheetData>
    <row r="1" customFormat="false" ht="17.35" hidden="false" customHeight="false" outlineLevel="0" collapsed="false">
      <c r="A1" s="17" t="s">
        <v>937</v>
      </c>
    </row>
    <row r="2" customFormat="false" ht="30" hidden="false" customHeight="true" outlineLevel="0" collapsed="false">
      <c r="A2" s="21" t="s">
        <v>938</v>
      </c>
      <c r="B2" s="21"/>
      <c r="C2" s="21"/>
      <c r="D2" s="21"/>
      <c r="E2" s="21"/>
      <c r="F2" s="21"/>
      <c r="G2" s="21"/>
      <c r="H2" s="21"/>
      <c r="I2" s="21"/>
      <c r="J2" s="21"/>
      <c r="K2" s="21"/>
      <c r="L2" s="21"/>
    </row>
    <row r="4" customFormat="false" ht="30" hidden="false" customHeight="true" outlineLevel="0" collapsed="false">
      <c r="A4" s="7" t="s">
        <v>187</v>
      </c>
      <c r="B4" s="7" t="s">
        <v>188</v>
      </c>
      <c r="C4" s="7" t="s">
        <v>189</v>
      </c>
      <c r="D4" s="7" t="s">
        <v>74</v>
      </c>
      <c r="E4" s="7" t="s">
        <v>190</v>
      </c>
      <c r="F4" s="7" t="s">
        <v>191</v>
      </c>
      <c r="G4" s="7" t="s">
        <v>192</v>
      </c>
      <c r="H4" s="7" t="s">
        <v>193</v>
      </c>
      <c r="I4" s="7" t="s">
        <v>194</v>
      </c>
      <c r="J4" s="7" t="s">
        <v>195</v>
      </c>
      <c r="K4" s="7" t="s">
        <v>196</v>
      </c>
      <c r="L4" s="7" t="s">
        <v>197</v>
      </c>
    </row>
    <row r="5" customFormat="false" ht="15" hidden="false" customHeight="false" outlineLevel="0" collapsed="false">
      <c r="A5" s="22" t="s">
        <v>939</v>
      </c>
      <c r="B5" s="22"/>
      <c r="C5" s="22"/>
      <c r="D5" s="22"/>
      <c r="E5" s="22"/>
      <c r="F5" s="22"/>
      <c r="G5" s="22"/>
      <c r="H5" s="22"/>
      <c r="I5" s="22"/>
      <c r="J5" s="22"/>
      <c r="K5" s="22"/>
      <c r="L5" s="22"/>
    </row>
    <row r="6" customFormat="false" ht="23.85" hidden="false" customHeight="false" outlineLevel="0" collapsed="false">
      <c r="A6" s="9" t="s">
        <v>940</v>
      </c>
      <c r="B6" s="20" t="s">
        <v>941</v>
      </c>
      <c r="C6" s="19" t="s">
        <v>942</v>
      </c>
      <c r="D6" s="20" t="s">
        <v>943</v>
      </c>
      <c r="E6" s="20" t="s">
        <v>944</v>
      </c>
      <c r="F6" s="20" t="s">
        <v>163</v>
      </c>
      <c r="G6" s="9" t="s">
        <v>204</v>
      </c>
      <c r="H6" s="9" t="s">
        <v>205</v>
      </c>
      <c r="I6" s="20" t="s">
        <v>163</v>
      </c>
      <c r="J6" s="20" t="s">
        <v>945</v>
      </c>
      <c r="K6" s="23"/>
      <c r="L6" s="24" t="s">
        <v>208</v>
      </c>
    </row>
    <row r="7" customFormat="false" ht="15" hidden="false" customHeight="false" outlineLevel="0" collapsed="false">
      <c r="A7" s="9" t="s">
        <v>946</v>
      </c>
      <c r="B7" s="20" t="s">
        <v>941</v>
      </c>
      <c r="C7" s="19" t="s">
        <v>947</v>
      </c>
      <c r="D7" s="20" t="s">
        <v>948</v>
      </c>
      <c r="E7" s="20" t="s">
        <v>949</v>
      </c>
      <c r="F7" s="20" t="s">
        <v>163</v>
      </c>
      <c r="G7" s="9" t="s">
        <v>204</v>
      </c>
      <c r="H7" s="9" t="s">
        <v>205</v>
      </c>
      <c r="I7" s="20" t="s">
        <v>163</v>
      </c>
      <c r="J7" s="20" t="s">
        <v>163</v>
      </c>
      <c r="K7" s="23"/>
      <c r="L7" s="24" t="s">
        <v>208</v>
      </c>
    </row>
    <row r="8" customFormat="false" ht="23.85" hidden="false" customHeight="false" outlineLevel="0" collapsed="false">
      <c r="A8" s="9" t="s">
        <v>950</v>
      </c>
      <c r="B8" s="20" t="s">
        <v>951</v>
      </c>
      <c r="C8" s="19" t="s">
        <v>952</v>
      </c>
      <c r="D8" s="20" t="s">
        <v>953</v>
      </c>
      <c r="E8" s="20" t="s">
        <v>954</v>
      </c>
      <c r="F8" s="20" t="s">
        <v>163</v>
      </c>
      <c r="G8" s="9" t="s">
        <v>204</v>
      </c>
      <c r="H8" s="9" t="s">
        <v>205</v>
      </c>
      <c r="I8" s="20" t="s">
        <v>163</v>
      </c>
      <c r="J8" s="20" t="s">
        <v>163</v>
      </c>
      <c r="K8" s="23"/>
      <c r="L8" s="24" t="s">
        <v>208</v>
      </c>
    </row>
    <row r="9" customFormat="false" ht="35.05" hidden="false" customHeight="false" outlineLevel="0" collapsed="false">
      <c r="A9" s="9" t="s">
        <v>955</v>
      </c>
      <c r="B9" s="20" t="s">
        <v>956</v>
      </c>
      <c r="C9" s="19" t="s">
        <v>957</v>
      </c>
      <c r="D9" s="20" t="s">
        <v>958</v>
      </c>
      <c r="E9" s="20" t="s">
        <v>959</v>
      </c>
      <c r="F9" s="20" t="s">
        <v>163</v>
      </c>
      <c r="G9" s="9" t="s">
        <v>204</v>
      </c>
      <c r="H9" s="9" t="s">
        <v>205</v>
      </c>
      <c r="I9" s="20" t="s">
        <v>163</v>
      </c>
      <c r="J9" s="20" t="s">
        <v>163</v>
      </c>
      <c r="K9" s="23"/>
      <c r="L9" s="24" t="s">
        <v>208</v>
      </c>
    </row>
    <row r="10" customFormat="false" ht="79.85" hidden="false" customHeight="false" outlineLevel="0" collapsed="false">
      <c r="A10" s="9" t="s">
        <v>960</v>
      </c>
      <c r="B10" s="20" t="s">
        <v>961</v>
      </c>
      <c r="C10" s="19" t="s">
        <v>962</v>
      </c>
      <c r="D10" s="20" t="s">
        <v>963</v>
      </c>
      <c r="E10" s="20" t="s">
        <v>964</v>
      </c>
      <c r="F10" s="20" t="s">
        <v>163</v>
      </c>
      <c r="G10" s="9" t="s">
        <v>204</v>
      </c>
      <c r="H10" s="9" t="s">
        <v>205</v>
      </c>
      <c r="I10" s="20" t="s">
        <v>163</v>
      </c>
      <c r="J10" s="20" t="s">
        <v>965</v>
      </c>
      <c r="K10" s="23"/>
      <c r="L10" s="24" t="s">
        <v>208</v>
      </c>
    </row>
    <row r="11" customFormat="false" ht="23.85" hidden="false" customHeight="false" outlineLevel="0" collapsed="false">
      <c r="A11" s="9" t="s">
        <v>966</v>
      </c>
      <c r="B11" s="20" t="s">
        <v>329</v>
      </c>
      <c r="C11" s="19" t="s">
        <v>967</v>
      </c>
      <c r="D11" s="20" t="s">
        <v>968</v>
      </c>
      <c r="E11" s="20" t="s">
        <v>969</v>
      </c>
      <c r="F11" s="20" t="s">
        <v>163</v>
      </c>
      <c r="G11" s="9" t="s">
        <v>204</v>
      </c>
      <c r="H11" s="9" t="s">
        <v>205</v>
      </c>
      <c r="I11" s="20" t="s">
        <v>163</v>
      </c>
      <c r="J11" s="20" t="s">
        <v>163</v>
      </c>
      <c r="K11" s="23"/>
      <c r="L11" s="24" t="s">
        <v>208</v>
      </c>
    </row>
    <row r="12" customFormat="false" ht="23.85" hidden="false" customHeight="false" outlineLevel="0" collapsed="false">
      <c r="A12" s="9" t="s">
        <v>970</v>
      </c>
      <c r="B12" s="20" t="s">
        <v>503</v>
      </c>
      <c r="C12" s="19" t="s">
        <v>971</v>
      </c>
      <c r="D12" s="20" t="s">
        <v>972</v>
      </c>
      <c r="E12" s="20" t="s">
        <v>973</v>
      </c>
      <c r="F12" s="20" t="s">
        <v>163</v>
      </c>
      <c r="G12" s="9" t="s">
        <v>204</v>
      </c>
      <c r="H12" s="9" t="s">
        <v>205</v>
      </c>
      <c r="I12" s="20" t="s">
        <v>163</v>
      </c>
      <c r="J12" s="20" t="s">
        <v>163</v>
      </c>
      <c r="K12" s="23"/>
      <c r="L12" s="24" t="s">
        <v>208</v>
      </c>
    </row>
    <row r="13" customFormat="false" ht="23.85" hidden="false" customHeight="false" outlineLevel="0" collapsed="false">
      <c r="A13" s="9" t="s">
        <v>974</v>
      </c>
      <c r="B13" s="20" t="s">
        <v>975</v>
      </c>
      <c r="C13" s="19" t="s">
        <v>976</v>
      </c>
      <c r="D13" s="20" t="s">
        <v>977</v>
      </c>
      <c r="E13" s="20" t="s">
        <v>163</v>
      </c>
      <c r="F13" s="20" t="s">
        <v>163</v>
      </c>
      <c r="G13" s="9" t="s">
        <v>204</v>
      </c>
      <c r="H13" s="9" t="s">
        <v>205</v>
      </c>
      <c r="I13" s="20" t="s">
        <v>163</v>
      </c>
      <c r="J13" s="20" t="s">
        <v>163</v>
      </c>
      <c r="K13" s="23"/>
      <c r="L13" s="24" t="s">
        <v>208</v>
      </c>
    </row>
    <row r="14" customFormat="false" ht="23.85" hidden="false" customHeight="false" outlineLevel="0" collapsed="false">
      <c r="A14" s="9" t="s">
        <v>978</v>
      </c>
      <c r="B14" s="20" t="s">
        <v>979</v>
      </c>
      <c r="C14" s="19" t="s">
        <v>980</v>
      </c>
      <c r="D14" s="20" t="s">
        <v>981</v>
      </c>
      <c r="E14" s="20" t="s">
        <v>982</v>
      </c>
      <c r="F14" s="20" t="s">
        <v>163</v>
      </c>
      <c r="G14" s="9" t="s">
        <v>204</v>
      </c>
      <c r="H14" s="9" t="s">
        <v>205</v>
      </c>
      <c r="I14" s="20" t="s">
        <v>163</v>
      </c>
      <c r="J14" s="20" t="s">
        <v>163</v>
      </c>
      <c r="K14" s="23"/>
      <c r="L14" s="24" t="s">
        <v>208</v>
      </c>
    </row>
    <row r="15" customFormat="false" ht="23.85" hidden="false" customHeight="false" outlineLevel="0" collapsed="false">
      <c r="A15" s="9" t="s">
        <v>983</v>
      </c>
      <c r="B15" s="20" t="s">
        <v>984</v>
      </c>
      <c r="C15" s="19" t="s">
        <v>985</v>
      </c>
      <c r="D15" s="20" t="s">
        <v>986</v>
      </c>
      <c r="E15" s="20" t="s">
        <v>987</v>
      </c>
      <c r="F15" s="20" t="s">
        <v>163</v>
      </c>
      <c r="G15" s="9" t="s">
        <v>204</v>
      </c>
      <c r="H15" s="9" t="s">
        <v>205</v>
      </c>
      <c r="I15" s="20" t="s">
        <v>163</v>
      </c>
      <c r="J15" s="20" t="s">
        <v>988</v>
      </c>
      <c r="K15" s="23"/>
      <c r="L15" s="24" t="s">
        <v>208</v>
      </c>
    </row>
  </sheetData>
  <autoFilter ref="A4:L15"/>
  <mergeCells count="2">
    <mergeCell ref="A2:L2"/>
    <mergeCell ref="A5:L5"/>
  </mergeCells>
  <conditionalFormatting sqref="G5:G15">
    <cfRule type="cellIs" priority="2" operator="equal" aboveAverage="0" equalAverage="0" bottom="0" percent="0" rank="0" text="" dxfId="18">
      <formula>"Must"</formula>
    </cfRule>
    <cfRule type="cellIs" priority="3" operator="equal" aboveAverage="0" equalAverage="0" bottom="0" percent="0" rank="0" text="" dxfId="19">
      <formula>"Should"</formula>
    </cfRule>
    <cfRule type="cellIs" priority="4" operator="equal" aboveAverage="0" equalAverage="0" bottom="0" percent="0" rank="0" text="" dxfId="20">
      <formula>"Nice"</formula>
    </cfRule>
  </conditionalFormatting>
  <conditionalFormatting sqref="H5:H15">
    <cfRule type="cellIs" priority="5" operator="equal" aboveAverage="0" equalAverage="0" bottom="0" percent="0" rank="0" text="" dxfId="21">
      <formula>"High"</formula>
    </cfRule>
    <cfRule type="cellIs" priority="6" operator="equal" aboveAverage="0" equalAverage="0" bottom="0" percent="0" rank="0" text="" dxfId="22">
      <formula>"Medium"</formula>
    </cfRule>
    <cfRule type="cellIs" priority="7" operator="equal" aboveAverage="0" equalAverage="0" bottom="0" percent="0" rank="0" text="" dxfId="23">
      <formula>"Low"</formula>
    </cfRule>
  </conditionalFormatting>
  <conditionalFormatting sqref="L5:L15">
    <cfRule type="cellIs" priority="8" operator="equal" aboveAverage="0" equalAverage="0" bottom="0" percent="0" rank="0" text="" dxfId="24">
      <formula>"Done"</formula>
    </cfRule>
    <cfRule type="cellIs" priority="9" operator="equal" aboveAverage="0" equalAverage="0" bottom="0" percent="0" rank="0" text="" dxfId="21">
      <formula>"Blocked"</formula>
    </cfRule>
    <cfRule type="cellIs" priority="10" operator="equal" aboveAverage="0" equalAverage="0" bottom="0" percent="0" rank="0" text="" dxfId="25">
      <formula>"In progress"</formula>
    </cfRule>
  </conditionalFormatting>
  <conditionalFormatting sqref="F5:F15">
    <cfRule type="expression" priority="11" aboveAverage="0" equalAverage="0" bottom="0" percent="0" rank="0" text="" dxfId="26">
      <formula>LEFT(F5,7)="PROBLEM"</formula>
    </cfRule>
    <cfRule type="expression" priority="12" aboveAverage="0" equalAverage="0" bottom="0" percent="0" rank="0" text="" dxfId="27">
      <formula>LEFT(F5,2)="OK"</formula>
    </cfRule>
  </conditionalFormatting>
  <dataValidations count="1">
    <dataValidation allowBlank="true" errorStyle="stop" operator="between" showDropDown="false" showErrorMessage="false" showInputMessage="false" sqref="L5:L15" type="list">
      <formula1>"Not started,In progress,Done,Blocked,Not needed"</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404040"/>
    <pageSetUpPr fitToPage="false"/>
  </sheetPr>
  <dimension ref="A1:V5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10"/>
    <col collapsed="false" customWidth="true" hidden="false" outlineLevel="0" max="2" min="2" style="0" width="11"/>
    <col collapsed="false" customWidth="true" hidden="false" outlineLevel="0" max="3" min="3" style="0" width="12"/>
    <col collapsed="false" customWidth="true" hidden="false" outlineLevel="0" max="4" min="4" style="0" width="10"/>
    <col collapsed="false" customWidth="true" hidden="false" outlineLevel="0" max="6" min="5" style="0" width="9"/>
    <col collapsed="false" customWidth="true" hidden="false" outlineLevel="0" max="11" min="7" style="0" width="11"/>
    <col collapsed="false" customWidth="true" hidden="false" outlineLevel="0" max="12" min="12" style="0" width="8"/>
    <col collapsed="false" customWidth="true" hidden="false" outlineLevel="0" max="15" min="13" style="0" width="9"/>
    <col collapsed="false" customWidth="true" hidden="false" outlineLevel="0" max="16" min="16" style="0" width="12"/>
    <col collapsed="false" customWidth="true" hidden="false" outlineLevel="0" max="17" min="17" style="0" width="9"/>
    <col collapsed="false" customWidth="true" hidden="false" outlineLevel="0" max="19" min="18" style="0" width="12"/>
    <col collapsed="false" customWidth="true" hidden="false" outlineLevel="0" max="20" min="20" style="0" width="11"/>
    <col collapsed="false" customWidth="true" hidden="false" outlineLevel="0" max="21" min="21" style="0" width="10"/>
    <col collapsed="false" customWidth="true" hidden="false" outlineLevel="0" max="22" min="22" style="0" width="12"/>
  </cols>
  <sheetData>
    <row r="1" customFormat="false" ht="17.35" hidden="false" customHeight="false" outlineLevel="0" collapsed="false">
      <c r="A1" s="17" t="s">
        <v>989</v>
      </c>
    </row>
    <row r="2" customFormat="false" ht="15" hidden="false" customHeight="false" outlineLevel="0" collapsed="false">
      <c r="A2" s="18" t="s">
        <v>990</v>
      </c>
    </row>
    <row r="4" customFormat="false" ht="15" hidden="false" customHeight="false" outlineLevel="0" collapsed="false">
      <c r="A4" s="25" t="s">
        <v>991</v>
      </c>
      <c r="Q4" s="26" t="s">
        <v>992</v>
      </c>
    </row>
    <row r="5" customFormat="false" ht="48" hidden="false" customHeight="true" outlineLevel="0" collapsed="false">
      <c r="A5" s="27" t="s">
        <v>993</v>
      </c>
      <c r="B5" s="27" t="s">
        <v>994</v>
      </c>
      <c r="C5" s="27" t="s">
        <v>995</v>
      </c>
      <c r="D5" s="27" t="s">
        <v>996</v>
      </c>
      <c r="E5" s="27" t="s">
        <v>997</v>
      </c>
      <c r="F5" s="27" t="s">
        <v>998</v>
      </c>
      <c r="G5" s="27" t="s">
        <v>999</v>
      </c>
      <c r="H5" s="27" t="s">
        <v>1000</v>
      </c>
      <c r="I5" s="27" t="s">
        <v>1001</v>
      </c>
      <c r="J5" s="27" t="s">
        <v>1002</v>
      </c>
      <c r="K5" s="27" t="s">
        <v>1003</v>
      </c>
      <c r="L5" s="27" t="s">
        <v>1004</v>
      </c>
      <c r="M5" s="27" t="s">
        <v>1005</v>
      </c>
      <c r="N5" s="27" t="s">
        <v>1006</v>
      </c>
      <c r="O5" s="27" t="s">
        <v>1007</v>
      </c>
      <c r="P5" s="27" t="s">
        <v>1008</v>
      </c>
      <c r="Q5" s="28" t="s">
        <v>1009</v>
      </c>
      <c r="R5" s="28" t="s">
        <v>1010</v>
      </c>
      <c r="S5" s="28" t="s">
        <v>1011</v>
      </c>
      <c r="T5" s="28" t="s">
        <v>1012</v>
      </c>
      <c r="U5" s="28" t="s">
        <v>1013</v>
      </c>
      <c r="V5" s="28" t="s">
        <v>1014</v>
      </c>
    </row>
    <row r="6" customFormat="false" ht="15" hidden="false" customHeight="false" outlineLevel="0" collapsed="false">
      <c r="A6" s="29" t="n">
        <v>46296</v>
      </c>
      <c r="B6" s="30" t="n">
        <v>12</v>
      </c>
      <c r="C6" s="30" t="n">
        <v>850</v>
      </c>
      <c r="D6" s="30" t="n">
        <v>22</v>
      </c>
      <c r="E6" s="31" t="n">
        <v>38.5</v>
      </c>
      <c r="F6" s="30" t="n">
        <v>3</v>
      </c>
      <c r="G6" s="30" t="n">
        <v>40</v>
      </c>
      <c r="H6" s="30" t="n">
        <v>1800</v>
      </c>
      <c r="I6" s="30" t="n">
        <v>210</v>
      </c>
      <c r="J6" s="30" t="n">
        <v>95</v>
      </c>
      <c r="K6" s="30" t="n">
        <v>420</v>
      </c>
      <c r="L6" s="31" t="n">
        <v>4.7</v>
      </c>
      <c r="M6" s="30" t="n">
        <v>160</v>
      </c>
      <c r="N6" s="32" t="n">
        <v>0.004</v>
      </c>
      <c r="O6" s="32" t="n">
        <v>0.002</v>
      </c>
      <c r="P6" s="33" t="n">
        <v>0</v>
      </c>
      <c r="Q6" s="34" t="n">
        <f aca="false">IF(C6&gt;0,D6/C6,"")</f>
        <v>0.0258823529411765</v>
      </c>
      <c r="R6" s="34" t="str">
        <f aca="false">""</f>
        <v/>
      </c>
      <c r="S6" s="34" t="n">
        <f aca="false">IF(H6&gt;0,K6/H6,"")</f>
        <v>0.233333333333333</v>
      </c>
      <c r="T6" s="34" t="n">
        <f aca="false">IF(K6&gt;0,I6/K6,"")</f>
        <v>0.5</v>
      </c>
      <c r="U6" s="35" t="n">
        <f aca="false">IF(ISNUMBER(P6),P6/10,"")</f>
        <v>0</v>
      </c>
      <c r="V6" s="36" t="str">
        <f aca="false">IF(AND(N6="",O6=""),"",IF(OR(N6&gt;=$C$33,O6&gt;=$C$34),"Above Play limit","OK"))</f>
        <v>OK</v>
      </c>
    </row>
    <row r="7" customFormat="false" ht="15" hidden="false" customHeight="false" outlineLevel="0" collapsed="false">
      <c r="A7" s="29"/>
      <c r="B7" s="30"/>
      <c r="C7" s="30"/>
      <c r="D7" s="30"/>
      <c r="E7" s="31"/>
      <c r="F7" s="30"/>
      <c r="G7" s="30"/>
      <c r="H7" s="30"/>
      <c r="I7" s="30"/>
      <c r="J7" s="30"/>
      <c r="K7" s="30"/>
      <c r="L7" s="31"/>
      <c r="M7" s="30"/>
      <c r="N7" s="32"/>
      <c r="O7" s="32"/>
      <c r="P7" s="33"/>
      <c r="Q7" s="34" t="str">
        <f aca="false">IF(C7&gt;0,D7/C7,"")</f>
        <v/>
      </c>
      <c r="R7" s="34" t="str">
        <f aca="false">IF(AND(ISNUMBER(D6),D6&gt;0,ISNUMBER(D7)),D7/D6-1,"")</f>
        <v/>
      </c>
      <c r="S7" s="34" t="str">
        <f aca="false">IF(H7&gt;0,K7/H7,"")</f>
        <v/>
      </c>
      <c r="T7" s="34" t="str">
        <f aca="false">IF(K7&gt;0,I7/K7,"")</f>
        <v/>
      </c>
      <c r="U7" s="35" t="str">
        <f aca="false">IF(ISNUMBER(P7),P7/10,"")</f>
        <v/>
      </c>
      <c r="V7" s="36" t="str">
        <f aca="false">IF(AND(N7="",O7=""),"",IF(OR(N7&gt;=$C$33,O7&gt;=$C$34),"Above Play limit","OK"))</f>
        <v/>
      </c>
    </row>
    <row r="8" customFormat="false" ht="15" hidden="false" customHeight="false" outlineLevel="0" collapsed="false">
      <c r="A8" s="29"/>
      <c r="B8" s="30"/>
      <c r="C8" s="30"/>
      <c r="D8" s="30"/>
      <c r="E8" s="31"/>
      <c r="F8" s="30"/>
      <c r="G8" s="30"/>
      <c r="H8" s="30"/>
      <c r="I8" s="30"/>
      <c r="J8" s="30"/>
      <c r="K8" s="30"/>
      <c r="L8" s="31"/>
      <c r="M8" s="30"/>
      <c r="N8" s="32"/>
      <c r="O8" s="32"/>
      <c r="P8" s="33"/>
      <c r="Q8" s="34" t="str">
        <f aca="false">IF(C8&gt;0,D8/C8,"")</f>
        <v/>
      </c>
      <c r="R8" s="34" t="str">
        <f aca="false">IF(AND(ISNUMBER(D7),D7&gt;0,ISNUMBER(D8)),D8/D7-1,"")</f>
        <v/>
      </c>
      <c r="S8" s="34" t="str">
        <f aca="false">IF(H8&gt;0,K8/H8,"")</f>
        <v/>
      </c>
      <c r="T8" s="34" t="str">
        <f aca="false">IF(K8&gt;0,I8/K8,"")</f>
        <v/>
      </c>
      <c r="U8" s="35" t="str">
        <f aca="false">IF(ISNUMBER(P8),P8/10,"")</f>
        <v/>
      </c>
      <c r="V8" s="36" t="str">
        <f aca="false">IF(AND(N8="",O8=""),"",IF(OR(N8&gt;=$C$33,O8&gt;=$C$34),"Above Play limit","OK"))</f>
        <v/>
      </c>
    </row>
    <row r="9" customFormat="false" ht="15" hidden="false" customHeight="false" outlineLevel="0" collapsed="false">
      <c r="A9" s="29"/>
      <c r="B9" s="30"/>
      <c r="C9" s="30"/>
      <c r="D9" s="30"/>
      <c r="E9" s="31"/>
      <c r="F9" s="30"/>
      <c r="G9" s="30"/>
      <c r="H9" s="30"/>
      <c r="I9" s="30"/>
      <c r="J9" s="30"/>
      <c r="K9" s="30"/>
      <c r="L9" s="31"/>
      <c r="M9" s="30"/>
      <c r="N9" s="32"/>
      <c r="O9" s="32"/>
      <c r="P9" s="33"/>
      <c r="Q9" s="34" t="str">
        <f aca="false">IF(C9&gt;0,D9/C9,"")</f>
        <v/>
      </c>
      <c r="R9" s="34" t="str">
        <f aca="false">IF(AND(ISNUMBER(D8),D8&gt;0,ISNUMBER(D9)),D9/D8-1,"")</f>
        <v/>
      </c>
      <c r="S9" s="34" t="str">
        <f aca="false">IF(H9&gt;0,K9/H9,"")</f>
        <v/>
      </c>
      <c r="T9" s="34" t="str">
        <f aca="false">IF(K9&gt;0,I9/K9,"")</f>
        <v/>
      </c>
      <c r="U9" s="35" t="str">
        <f aca="false">IF(ISNUMBER(P9),P9/10,"")</f>
        <v/>
      </c>
      <c r="V9" s="36" t="str">
        <f aca="false">IF(AND(N9="",O9=""),"",IF(OR(N9&gt;=$C$33,O9&gt;=$C$34),"Above Play limit","OK"))</f>
        <v/>
      </c>
    </row>
    <row r="10" customFormat="false" ht="15" hidden="false" customHeight="false" outlineLevel="0" collapsed="false">
      <c r="A10" s="29"/>
      <c r="B10" s="30"/>
      <c r="C10" s="30"/>
      <c r="D10" s="30"/>
      <c r="E10" s="31"/>
      <c r="F10" s="30"/>
      <c r="G10" s="30"/>
      <c r="H10" s="30"/>
      <c r="I10" s="30"/>
      <c r="J10" s="30"/>
      <c r="K10" s="30"/>
      <c r="L10" s="31"/>
      <c r="M10" s="30"/>
      <c r="N10" s="32"/>
      <c r="O10" s="32"/>
      <c r="P10" s="33"/>
      <c r="Q10" s="34" t="str">
        <f aca="false">IF(C10&gt;0,D10/C10,"")</f>
        <v/>
      </c>
      <c r="R10" s="34" t="str">
        <f aca="false">IF(AND(ISNUMBER(D9),D9&gt;0,ISNUMBER(D10)),D10/D9-1,"")</f>
        <v/>
      </c>
      <c r="S10" s="34" t="str">
        <f aca="false">IF(H10&gt;0,K10/H10,"")</f>
        <v/>
      </c>
      <c r="T10" s="34" t="str">
        <f aca="false">IF(K10&gt;0,I10/K10,"")</f>
        <v/>
      </c>
      <c r="U10" s="35" t="str">
        <f aca="false">IF(ISNUMBER(P10),P10/10,"")</f>
        <v/>
      </c>
      <c r="V10" s="36" t="str">
        <f aca="false">IF(AND(N10="",O10=""),"",IF(OR(N10&gt;=$C$33,O10&gt;=$C$34),"Above Play limit","OK"))</f>
        <v/>
      </c>
    </row>
    <row r="11" customFormat="false" ht="15" hidden="false" customHeight="false" outlineLevel="0" collapsed="false">
      <c r="A11" s="29"/>
      <c r="B11" s="30"/>
      <c r="C11" s="30"/>
      <c r="D11" s="30"/>
      <c r="E11" s="31"/>
      <c r="F11" s="30"/>
      <c r="G11" s="30"/>
      <c r="H11" s="30"/>
      <c r="I11" s="30"/>
      <c r="J11" s="30"/>
      <c r="K11" s="30"/>
      <c r="L11" s="31"/>
      <c r="M11" s="30"/>
      <c r="N11" s="32"/>
      <c r="O11" s="32"/>
      <c r="P11" s="33"/>
      <c r="Q11" s="34" t="str">
        <f aca="false">IF(C11&gt;0,D11/C11,"")</f>
        <v/>
      </c>
      <c r="R11" s="34" t="str">
        <f aca="false">IF(AND(ISNUMBER(D10),D10&gt;0,ISNUMBER(D11)),D11/D10-1,"")</f>
        <v/>
      </c>
      <c r="S11" s="34" t="str">
        <f aca="false">IF(H11&gt;0,K11/H11,"")</f>
        <v/>
      </c>
      <c r="T11" s="34" t="str">
        <f aca="false">IF(K11&gt;0,I11/K11,"")</f>
        <v/>
      </c>
      <c r="U11" s="35" t="str">
        <f aca="false">IF(ISNUMBER(P11),P11/10,"")</f>
        <v/>
      </c>
      <c r="V11" s="36" t="str">
        <f aca="false">IF(AND(N11="",O11=""),"",IF(OR(N11&gt;=$C$33,O11&gt;=$C$34),"Above Play limit","OK"))</f>
        <v/>
      </c>
    </row>
    <row r="12" customFormat="false" ht="15" hidden="false" customHeight="false" outlineLevel="0" collapsed="false">
      <c r="A12" s="29"/>
      <c r="B12" s="30"/>
      <c r="C12" s="30"/>
      <c r="D12" s="30"/>
      <c r="E12" s="31"/>
      <c r="F12" s="30"/>
      <c r="G12" s="30"/>
      <c r="H12" s="30"/>
      <c r="I12" s="30"/>
      <c r="J12" s="30"/>
      <c r="K12" s="30"/>
      <c r="L12" s="31"/>
      <c r="M12" s="30"/>
      <c r="N12" s="32"/>
      <c r="O12" s="32"/>
      <c r="P12" s="33"/>
      <c r="Q12" s="34" t="str">
        <f aca="false">IF(C12&gt;0,D12/C12,"")</f>
        <v/>
      </c>
      <c r="R12" s="34" t="str">
        <f aca="false">IF(AND(ISNUMBER(D11),D11&gt;0,ISNUMBER(D12)),D12/D11-1,"")</f>
        <v/>
      </c>
      <c r="S12" s="34" t="str">
        <f aca="false">IF(H12&gt;0,K12/H12,"")</f>
        <v/>
      </c>
      <c r="T12" s="34" t="str">
        <f aca="false">IF(K12&gt;0,I12/K12,"")</f>
        <v/>
      </c>
      <c r="U12" s="35" t="str">
        <f aca="false">IF(ISNUMBER(P12),P12/10,"")</f>
        <v/>
      </c>
      <c r="V12" s="36" t="str">
        <f aca="false">IF(AND(N12="",O12=""),"",IF(OR(N12&gt;=$C$33,O12&gt;=$C$34),"Above Play limit","OK"))</f>
        <v/>
      </c>
    </row>
    <row r="13" customFormat="false" ht="15" hidden="false" customHeight="false" outlineLevel="0" collapsed="false">
      <c r="A13" s="29"/>
      <c r="B13" s="30"/>
      <c r="C13" s="30"/>
      <c r="D13" s="30"/>
      <c r="E13" s="31"/>
      <c r="F13" s="30"/>
      <c r="G13" s="30"/>
      <c r="H13" s="30"/>
      <c r="I13" s="30"/>
      <c r="J13" s="30"/>
      <c r="K13" s="30"/>
      <c r="L13" s="31"/>
      <c r="M13" s="30"/>
      <c r="N13" s="32"/>
      <c r="O13" s="32"/>
      <c r="P13" s="33"/>
      <c r="Q13" s="34" t="str">
        <f aca="false">IF(C13&gt;0,D13/C13,"")</f>
        <v/>
      </c>
      <c r="R13" s="34" t="str">
        <f aca="false">IF(AND(ISNUMBER(D12),D12&gt;0,ISNUMBER(D13)),D13/D12-1,"")</f>
        <v/>
      </c>
      <c r="S13" s="34" t="str">
        <f aca="false">IF(H13&gt;0,K13/H13,"")</f>
        <v/>
      </c>
      <c r="T13" s="34" t="str">
        <f aca="false">IF(K13&gt;0,I13/K13,"")</f>
        <v/>
      </c>
      <c r="U13" s="35" t="str">
        <f aca="false">IF(ISNUMBER(P13),P13/10,"")</f>
        <v/>
      </c>
      <c r="V13" s="36" t="str">
        <f aca="false">IF(AND(N13="",O13=""),"",IF(OR(N13&gt;=$C$33,O13&gt;=$C$34),"Above Play limit","OK"))</f>
        <v/>
      </c>
    </row>
    <row r="14" customFormat="false" ht="15" hidden="false" customHeight="false" outlineLevel="0" collapsed="false">
      <c r="A14" s="29"/>
      <c r="B14" s="30"/>
      <c r="C14" s="30"/>
      <c r="D14" s="30"/>
      <c r="E14" s="31"/>
      <c r="F14" s="30"/>
      <c r="G14" s="30"/>
      <c r="H14" s="30"/>
      <c r="I14" s="30"/>
      <c r="J14" s="30"/>
      <c r="K14" s="30"/>
      <c r="L14" s="31"/>
      <c r="M14" s="30"/>
      <c r="N14" s="32"/>
      <c r="O14" s="32"/>
      <c r="P14" s="33"/>
      <c r="Q14" s="34" t="str">
        <f aca="false">IF(C14&gt;0,D14/C14,"")</f>
        <v/>
      </c>
      <c r="R14" s="34" t="str">
        <f aca="false">IF(AND(ISNUMBER(D13),D13&gt;0,ISNUMBER(D14)),D14/D13-1,"")</f>
        <v/>
      </c>
      <c r="S14" s="34" t="str">
        <f aca="false">IF(H14&gt;0,K14/H14,"")</f>
        <v/>
      </c>
      <c r="T14" s="34" t="str">
        <f aca="false">IF(K14&gt;0,I14/K14,"")</f>
        <v/>
      </c>
      <c r="U14" s="35" t="str">
        <f aca="false">IF(ISNUMBER(P14),P14/10,"")</f>
        <v/>
      </c>
      <c r="V14" s="36" t="str">
        <f aca="false">IF(AND(N14="",O14=""),"",IF(OR(N14&gt;=$C$33,O14&gt;=$C$34),"Above Play limit","OK"))</f>
        <v/>
      </c>
    </row>
    <row r="15" customFormat="false" ht="15" hidden="false" customHeight="false" outlineLevel="0" collapsed="false">
      <c r="A15" s="29"/>
      <c r="B15" s="30"/>
      <c r="C15" s="30"/>
      <c r="D15" s="30"/>
      <c r="E15" s="31"/>
      <c r="F15" s="30"/>
      <c r="G15" s="30"/>
      <c r="H15" s="30"/>
      <c r="I15" s="30"/>
      <c r="J15" s="30"/>
      <c r="K15" s="30"/>
      <c r="L15" s="31"/>
      <c r="M15" s="30"/>
      <c r="N15" s="32"/>
      <c r="O15" s="32"/>
      <c r="P15" s="33"/>
      <c r="Q15" s="34" t="str">
        <f aca="false">IF(C15&gt;0,D15/C15,"")</f>
        <v/>
      </c>
      <c r="R15" s="34" t="str">
        <f aca="false">IF(AND(ISNUMBER(D14),D14&gt;0,ISNUMBER(D15)),D15/D14-1,"")</f>
        <v/>
      </c>
      <c r="S15" s="34" t="str">
        <f aca="false">IF(H15&gt;0,K15/H15,"")</f>
        <v/>
      </c>
      <c r="T15" s="34" t="str">
        <f aca="false">IF(K15&gt;0,I15/K15,"")</f>
        <v/>
      </c>
      <c r="U15" s="35" t="str">
        <f aca="false">IF(ISNUMBER(P15),P15/10,"")</f>
        <v/>
      </c>
      <c r="V15" s="36" t="str">
        <f aca="false">IF(AND(N15="",O15=""),"",IF(OR(N15&gt;=$C$33,O15&gt;=$C$34),"Above Play limit","OK"))</f>
        <v/>
      </c>
    </row>
    <row r="16" customFormat="false" ht="15" hidden="false" customHeight="false" outlineLevel="0" collapsed="false">
      <c r="A16" s="29"/>
      <c r="B16" s="30"/>
      <c r="C16" s="30"/>
      <c r="D16" s="30"/>
      <c r="E16" s="31"/>
      <c r="F16" s="30"/>
      <c r="G16" s="30"/>
      <c r="H16" s="30"/>
      <c r="I16" s="30"/>
      <c r="J16" s="30"/>
      <c r="K16" s="30"/>
      <c r="L16" s="31"/>
      <c r="M16" s="30"/>
      <c r="N16" s="32"/>
      <c r="O16" s="32"/>
      <c r="P16" s="33"/>
      <c r="Q16" s="34" t="str">
        <f aca="false">IF(C16&gt;0,D16/C16,"")</f>
        <v/>
      </c>
      <c r="R16" s="34" t="str">
        <f aca="false">IF(AND(ISNUMBER(D15),D15&gt;0,ISNUMBER(D16)),D16/D15-1,"")</f>
        <v/>
      </c>
      <c r="S16" s="34" t="str">
        <f aca="false">IF(H16&gt;0,K16/H16,"")</f>
        <v/>
      </c>
      <c r="T16" s="34" t="str">
        <f aca="false">IF(K16&gt;0,I16/K16,"")</f>
        <v/>
      </c>
      <c r="U16" s="35" t="str">
        <f aca="false">IF(ISNUMBER(P16),P16/10,"")</f>
        <v/>
      </c>
      <c r="V16" s="36" t="str">
        <f aca="false">IF(AND(N16="",O16=""),"",IF(OR(N16&gt;=$C$33,O16&gt;=$C$34),"Above Play limit","OK"))</f>
        <v/>
      </c>
    </row>
    <row r="17" customFormat="false" ht="15" hidden="false" customHeight="false" outlineLevel="0" collapsed="false">
      <c r="A17" s="29"/>
      <c r="B17" s="30"/>
      <c r="C17" s="30"/>
      <c r="D17" s="30"/>
      <c r="E17" s="31"/>
      <c r="F17" s="30"/>
      <c r="G17" s="30"/>
      <c r="H17" s="30"/>
      <c r="I17" s="30"/>
      <c r="J17" s="30"/>
      <c r="K17" s="30"/>
      <c r="L17" s="31"/>
      <c r="M17" s="30"/>
      <c r="N17" s="32"/>
      <c r="O17" s="32"/>
      <c r="P17" s="33"/>
      <c r="Q17" s="34" t="str">
        <f aca="false">IF(C17&gt;0,D17/C17,"")</f>
        <v/>
      </c>
      <c r="R17" s="34" t="str">
        <f aca="false">IF(AND(ISNUMBER(D16),D16&gt;0,ISNUMBER(D17)),D17/D16-1,"")</f>
        <v/>
      </c>
      <c r="S17" s="34" t="str">
        <f aca="false">IF(H17&gt;0,K17/H17,"")</f>
        <v/>
      </c>
      <c r="T17" s="34" t="str">
        <f aca="false">IF(K17&gt;0,I17/K17,"")</f>
        <v/>
      </c>
      <c r="U17" s="35" t="str">
        <f aca="false">IF(ISNUMBER(P17),P17/10,"")</f>
        <v/>
      </c>
      <c r="V17" s="36" t="str">
        <f aca="false">IF(AND(N17="",O17=""),"",IF(OR(N17&gt;=$C$33,O17&gt;=$C$34),"Above Play limit","OK"))</f>
        <v/>
      </c>
    </row>
    <row r="18" customFormat="false" ht="15" hidden="false" customHeight="false" outlineLevel="0" collapsed="false">
      <c r="A18" s="29"/>
      <c r="B18" s="30"/>
      <c r="C18" s="30"/>
      <c r="D18" s="30"/>
      <c r="E18" s="31"/>
      <c r="F18" s="30"/>
      <c r="G18" s="30"/>
      <c r="H18" s="30"/>
      <c r="I18" s="30"/>
      <c r="J18" s="30"/>
      <c r="K18" s="30"/>
      <c r="L18" s="31"/>
      <c r="M18" s="30"/>
      <c r="N18" s="32"/>
      <c r="O18" s="32"/>
      <c r="P18" s="33"/>
      <c r="Q18" s="34" t="str">
        <f aca="false">IF(C18&gt;0,D18/C18,"")</f>
        <v/>
      </c>
      <c r="R18" s="34" t="str">
        <f aca="false">IF(AND(ISNUMBER(D17),D17&gt;0,ISNUMBER(D18)),D18/D17-1,"")</f>
        <v/>
      </c>
      <c r="S18" s="34" t="str">
        <f aca="false">IF(H18&gt;0,K18/H18,"")</f>
        <v/>
      </c>
      <c r="T18" s="34" t="str">
        <f aca="false">IF(K18&gt;0,I18/K18,"")</f>
        <v/>
      </c>
      <c r="U18" s="35" t="str">
        <f aca="false">IF(ISNUMBER(P18),P18/10,"")</f>
        <v/>
      </c>
      <c r="V18" s="36" t="str">
        <f aca="false">IF(AND(N18="",O18=""),"",IF(OR(N18&gt;=$C$33,O18&gt;=$C$34),"Above Play limit","OK"))</f>
        <v/>
      </c>
    </row>
    <row r="19" customFormat="false" ht="15" hidden="false" customHeight="false" outlineLevel="0" collapsed="false">
      <c r="A19" s="29"/>
      <c r="B19" s="30"/>
      <c r="C19" s="30"/>
      <c r="D19" s="30"/>
      <c r="E19" s="31"/>
      <c r="F19" s="30"/>
      <c r="G19" s="30"/>
      <c r="H19" s="30"/>
      <c r="I19" s="30"/>
      <c r="J19" s="30"/>
      <c r="K19" s="30"/>
      <c r="L19" s="31"/>
      <c r="M19" s="30"/>
      <c r="N19" s="32"/>
      <c r="O19" s="32"/>
      <c r="P19" s="33"/>
      <c r="Q19" s="34" t="str">
        <f aca="false">IF(C19&gt;0,D19/C19,"")</f>
        <v/>
      </c>
      <c r="R19" s="34" t="str">
        <f aca="false">IF(AND(ISNUMBER(D18),D18&gt;0,ISNUMBER(D19)),D19/D18-1,"")</f>
        <v/>
      </c>
      <c r="S19" s="34" t="str">
        <f aca="false">IF(H19&gt;0,K19/H19,"")</f>
        <v/>
      </c>
      <c r="T19" s="34" t="str">
        <f aca="false">IF(K19&gt;0,I19/K19,"")</f>
        <v/>
      </c>
      <c r="U19" s="35" t="str">
        <f aca="false">IF(ISNUMBER(P19),P19/10,"")</f>
        <v/>
      </c>
      <c r="V19" s="36" t="str">
        <f aca="false">IF(AND(N19="",O19=""),"",IF(OR(N19&gt;=$C$33,O19&gt;=$C$34),"Above Play limit","OK"))</f>
        <v/>
      </c>
    </row>
    <row r="20" customFormat="false" ht="15" hidden="false" customHeight="false" outlineLevel="0" collapsed="false">
      <c r="A20" s="29"/>
      <c r="B20" s="30"/>
      <c r="C20" s="30"/>
      <c r="D20" s="30"/>
      <c r="E20" s="31"/>
      <c r="F20" s="30"/>
      <c r="G20" s="30"/>
      <c r="H20" s="30"/>
      <c r="I20" s="30"/>
      <c r="J20" s="30"/>
      <c r="K20" s="30"/>
      <c r="L20" s="31"/>
      <c r="M20" s="30"/>
      <c r="N20" s="32"/>
      <c r="O20" s="32"/>
      <c r="P20" s="33"/>
      <c r="Q20" s="34" t="str">
        <f aca="false">IF(C20&gt;0,D20/C20,"")</f>
        <v/>
      </c>
      <c r="R20" s="34" t="str">
        <f aca="false">IF(AND(ISNUMBER(D19),D19&gt;0,ISNUMBER(D20)),D20/D19-1,"")</f>
        <v/>
      </c>
      <c r="S20" s="34" t="str">
        <f aca="false">IF(H20&gt;0,K20/H20,"")</f>
        <v/>
      </c>
      <c r="T20" s="34" t="str">
        <f aca="false">IF(K20&gt;0,I20/K20,"")</f>
        <v/>
      </c>
      <c r="U20" s="35" t="str">
        <f aca="false">IF(ISNUMBER(P20),P20/10,"")</f>
        <v/>
      </c>
      <c r="V20" s="36" t="str">
        <f aca="false">IF(AND(N20="",O20=""),"",IF(OR(N20&gt;=$C$33,O20&gt;=$C$34),"Above Play limit","OK"))</f>
        <v/>
      </c>
    </row>
    <row r="21" customFormat="false" ht="15" hidden="false" customHeight="false" outlineLevel="0" collapsed="false">
      <c r="A21" s="29"/>
      <c r="B21" s="30"/>
      <c r="C21" s="30"/>
      <c r="D21" s="30"/>
      <c r="E21" s="31"/>
      <c r="F21" s="30"/>
      <c r="G21" s="30"/>
      <c r="H21" s="30"/>
      <c r="I21" s="30"/>
      <c r="J21" s="30"/>
      <c r="K21" s="30"/>
      <c r="L21" s="31"/>
      <c r="M21" s="30"/>
      <c r="N21" s="32"/>
      <c r="O21" s="32"/>
      <c r="P21" s="33"/>
      <c r="Q21" s="34" t="str">
        <f aca="false">IF(C21&gt;0,D21/C21,"")</f>
        <v/>
      </c>
      <c r="R21" s="34" t="str">
        <f aca="false">IF(AND(ISNUMBER(D20),D20&gt;0,ISNUMBER(D21)),D21/D20-1,"")</f>
        <v/>
      </c>
      <c r="S21" s="34" t="str">
        <f aca="false">IF(H21&gt;0,K21/H21,"")</f>
        <v/>
      </c>
      <c r="T21" s="34" t="str">
        <f aca="false">IF(K21&gt;0,I21/K21,"")</f>
        <v/>
      </c>
      <c r="U21" s="35" t="str">
        <f aca="false">IF(ISNUMBER(P21),P21/10,"")</f>
        <v/>
      </c>
      <c r="V21" s="36" t="str">
        <f aca="false">IF(AND(N21="",O21=""),"",IF(OR(N21&gt;=$C$33,O21&gt;=$C$34),"Above Play limit","OK"))</f>
        <v/>
      </c>
    </row>
    <row r="22" customFormat="false" ht="15" hidden="false" customHeight="false" outlineLevel="0" collapsed="false">
      <c r="A22" s="29"/>
      <c r="B22" s="30"/>
      <c r="C22" s="30"/>
      <c r="D22" s="30"/>
      <c r="E22" s="31"/>
      <c r="F22" s="30"/>
      <c r="G22" s="30"/>
      <c r="H22" s="30"/>
      <c r="I22" s="30"/>
      <c r="J22" s="30"/>
      <c r="K22" s="30"/>
      <c r="L22" s="31"/>
      <c r="M22" s="30"/>
      <c r="N22" s="32"/>
      <c r="O22" s="32"/>
      <c r="P22" s="33"/>
      <c r="Q22" s="34" t="str">
        <f aca="false">IF(C22&gt;0,D22/C22,"")</f>
        <v/>
      </c>
      <c r="R22" s="34" t="str">
        <f aca="false">IF(AND(ISNUMBER(D21),D21&gt;0,ISNUMBER(D22)),D22/D21-1,"")</f>
        <v/>
      </c>
      <c r="S22" s="34" t="str">
        <f aca="false">IF(H22&gt;0,K22/H22,"")</f>
        <v/>
      </c>
      <c r="T22" s="34" t="str">
        <f aca="false">IF(K22&gt;0,I22/K22,"")</f>
        <v/>
      </c>
      <c r="U22" s="35" t="str">
        <f aca="false">IF(ISNUMBER(P22),P22/10,"")</f>
        <v/>
      </c>
      <c r="V22" s="36" t="str">
        <f aca="false">IF(AND(N22="",O22=""),"",IF(OR(N22&gt;=$C$33,O22&gt;=$C$34),"Above Play limit","OK"))</f>
        <v/>
      </c>
    </row>
    <row r="23" customFormat="false" ht="15" hidden="false" customHeight="false" outlineLevel="0" collapsed="false">
      <c r="A23" s="29"/>
      <c r="B23" s="30"/>
      <c r="C23" s="30"/>
      <c r="D23" s="30"/>
      <c r="E23" s="31"/>
      <c r="F23" s="30"/>
      <c r="G23" s="30"/>
      <c r="H23" s="30"/>
      <c r="I23" s="30"/>
      <c r="J23" s="30"/>
      <c r="K23" s="30"/>
      <c r="L23" s="31"/>
      <c r="M23" s="30"/>
      <c r="N23" s="32"/>
      <c r="O23" s="32"/>
      <c r="P23" s="33"/>
      <c r="Q23" s="34" t="str">
        <f aca="false">IF(C23&gt;0,D23/C23,"")</f>
        <v/>
      </c>
      <c r="R23" s="34" t="str">
        <f aca="false">IF(AND(ISNUMBER(D22),D22&gt;0,ISNUMBER(D23)),D23/D22-1,"")</f>
        <v/>
      </c>
      <c r="S23" s="34" t="str">
        <f aca="false">IF(H23&gt;0,K23/H23,"")</f>
        <v/>
      </c>
      <c r="T23" s="34" t="str">
        <f aca="false">IF(K23&gt;0,I23/K23,"")</f>
        <v/>
      </c>
      <c r="U23" s="35" t="str">
        <f aca="false">IF(ISNUMBER(P23),P23/10,"")</f>
        <v/>
      </c>
      <c r="V23" s="36" t="str">
        <f aca="false">IF(AND(N23="",O23=""),"",IF(OR(N23&gt;=$C$33,O23&gt;=$C$34),"Above Play limit","OK"))</f>
        <v/>
      </c>
    </row>
    <row r="24" customFormat="false" ht="15" hidden="false" customHeight="false" outlineLevel="0" collapsed="false">
      <c r="A24" s="29"/>
      <c r="B24" s="30"/>
      <c r="C24" s="30"/>
      <c r="D24" s="30"/>
      <c r="E24" s="31"/>
      <c r="F24" s="30"/>
      <c r="G24" s="30"/>
      <c r="H24" s="30"/>
      <c r="I24" s="30"/>
      <c r="J24" s="30"/>
      <c r="K24" s="30"/>
      <c r="L24" s="31"/>
      <c r="M24" s="30"/>
      <c r="N24" s="32"/>
      <c r="O24" s="32"/>
      <c r="P24" s="33"/>
      <c r="Q24" s="34" t="str">
        <f aca="false">IF(C24&gt;0,D24/C24,"")</f>
        <v/>
      </c>
      <c r="R24" s="34" t="str">
        <f aca="false">IF(AND(ISNUMBER(D23),D23&gt;0,ISNUMBER(D24)),D24/D23-1,"")</f>
        <v/>
      </c>
      <c r="S24" s="34" t="str">
        <f aca="false">IF(H24&gt;0,K24/H24,"")</f>
        <v/>
      </c>
      <c r="T24" s="34" t="str">
        <f aca="false">IF(K24&gt;0,I24/K24,"")</f>
        <v/>
      </c>
      <c r="U24" s="35" t="str">
        <f aca="false">IF(ISNUMBER(P24),P24/10,"")</f>
        <v/>
      </c>
      <c r="V24" s="36" t="str">
        <f aca="false">IF(AND(N24="",O24=""),"",IF(OR(N24&gt;=$C$33,O24&gt;=$C$34),"Above Play limit","OK"))</f>
        <v/>
      </c>
    </row>
    <row r="25" customFormat="false" ht="15" hidden="false" customHeight="false" outlineLevel="0" collapsed="false">
      <c r="A25" s="29"/>
      <c r="B25" s="30"/>
      <c r="C25" s="30"/>
      <c r="D25" s="30"/>
      <c r="E25" s="31"/>
      <c r="F25" s="30"/>
      <c r="G25" s="30"/>
      <c r="H25" s="30"/>
      <c r="I25" s="30"/>
      <c r="J25" s="30"/>
      <c r="K25" s="30"/>
      <c r="L25" s="31"/>
      <c r="M25" s="30"/>
      <c r="N25" s="32"/>
      <c r="O25" s="32"/>
      <c r="P25" s="33"/>
      <c r="Q25" s="34" t="str">
        <f aca="false">IF(C25&gt;0,D25/C25,"")</f>
        <v/>
      </c>
      <c r="R25" s="34" t="str">
        <f aca="false">IF(AND(ISNUMBER(D24),D24&gt;0,ISNUMBER(D25)),D25/D24-1,"")</f>
        <v/>
      </c>
      <c r="S25" s="34" t="str">
        <f aca="false">IF(H25&gt;0,K25/H25,"")</f>
        <v/>
      </c>
      <c r="T25" s="34" t="str">
        <f aca="false">IF(K25&gt;0,I25/K25,"")</f>
        <v/>
      </c>
      <c r="U25" s="35" t="str">
        <f aca="false">IF(ISNUMBER(P25),P25/10,"")</f>
        <v/>
      </c>
      <c r="V25" s="36" t="str">
        <f aca="false">IF(AND(N25="",O25=""),"",IF(OR(N25&gt;=$C$33,O25&gt;=$C$34),"Above Play limit","OK"))</f>
        <v/>
      </c>
    </row>
    <row r="26" customFormat="false" ht="15" hidden="false" customHeight="false" outlineLevel="0" collapsed="false">
      <c r="A26" s="29"/>
      <c r="B26" s="30"/>
      <c r="C26" s="30"/>
      <c r="D26" s="30"/>
      <c r="E26" s="31"/>
      <c r="F26" s="30"/>
      <c r="G26" s="30"/>
      <c r="H26" s="30"/>
      <c r="I26" s="30"/>
      <c r="J26" s="30"/>
      <c r="K26" s="30"/>
      <c r="L26" s="31"/>
      <c r="M26" s="30"/>
      <c r="N26" s="32"/>
      <c r="O26" s="32"/>
      <c r="P26" s="33"/>
      <c r="Q26" s="34" t="str">
        <f aca="false">IF(C26&gt;0,D26/C26,"")</f>
        <v/>
      </c>
      <c r="R26" s="34" t="str">
        <f aca="false">IF(AND(ISNUMBER(D25),D25&gt;0,ISNUMBER(D26)),D26/D25-1,"")</f>
        <v/>
      </c>
      <c r="S26" s="34" t="str">
        <f aca="false">IF(H26&gt;0,K26/H26,"")</f>
        <v/>
      </c>
      <c r="T26" s="34" t="str">
        <f aca="false">IF(K26&gt;0,I26/K26,"")</f>
        <v/>
      </c>
      <c r="U26" s="35" t="str">
        <f aca="false">IF(ISNUMBER(P26),P26/10,"")</f>
        <v/>
      </c>
      <c r="V26" s="36" t="str">
        <f aca="false">IF(AND(N26="",O26=""),"",IF(OR(N26&gt;=$C$33,O26&gt;=$C$34),"Above Play limit","OK"))</f>
        <v/>
      </c>
    </row>
    <row r="27" customFormat="false" ht="15" hidden="false" customHeight="false" outlineLevel="0" collapsed="false">
      <c r="A27" s="29"/>
      <c r="B27" s="30"/>
      <c r="C27" s="30"/>
      <c r="D27" s="30"/>
      <c r="E27" s="31"/>
      <c r="F27" s="30"/>
      <c r="G27" s="30"/>
      <c r="H27" s="30"/>
      <c r="I27" s="30"/>
      <c r="J27" s="30"/>
      <c r="K27" s="30"/>
      <c r="L27" s="31"/>
      <c r="M27" s="30"/>
      <c r="N27" s="32"/>
      <c r="O27" s="32"/>
      <c r="P27" s="33"/>
      <c r="Q27" s="34" t="str">
        <f aca="false">IF(C27&gt;0,D27/C27,"")</f>
        <v/>
      </c>
      <c r="R27" s="34" t="str">
        <f aca="false">IF(AND(ISNUMBER(D26),D26&gt;0,ISNUMBER(D27)),D27/D26-1,"")</f>
        <v/>
      </c>
      <c r="S27" s="34" t="str">
        <f aca="false">IF(H27&gt;0,K27/H27,"")</f>
        <v/>
      </c>
      <c r="T27" s="34" t="str">
        <f aca="false">IF(K27&gt;0,I27/K27,"")</f>
        <v/>
      </c>
      <c r="U27" s="35" t="str">
        <f aca="false">IF(ISNUMBER(P27),P27/10,"")</f>
        <v/>
      </c>
      <c r="V27" s="36" t="str">
        <f aca="false">IF(AND(N27="",O27=""),"",IF(OR(N27&gt;=$C$33,O27&gt;=$C$34),"Above Play limit","OK"))</f>
        <v/>
      </c>
    </row>
    <row r="28" customFormat="false" ht="15" hidden="false" customHeight="false" outlineLevel="0" collapsed="false">
      <c r="A28" s="29"/>
      <c r="B28" s="30"/>
      <c r="C28" s="30"/>
      <c r="D28" s="30"/>
      <c r="E28" s="31"/>
      <c r="F28" s="30"/>
      <c r="G28" s="30"/>
      <c r="H28" s="30"/>
      <c r="I28" s="30"/>
      <c r="J28" s="30"/>
      <c r="K28" s="30"/>
      <c r="L28" s="31"/>
      <c r="M28" s="30"/>
      <c r="N28" s="32"/>
      <c r="O28" s="32"/>
      <c r="P28" s="33"/>
      <c r="Q28" s="34" t="str">
        <f aca="false">IF(C28&gt;0,D28/C28,"")</f>
        <v/>
      </c>
      <c r="R28" s="34" t="str">
        <f aca="false">IF(AND(ISNUMBER(D27),D27&gt;0,ISNUMBER(D28)),D28/D27-1,"")</f>
        <v/>
      </c>
      <c r="S28" s="34" t="str">
        <f aca="false">IF(H28&gt;0,K28/H28,"")</f>
        <v/>
      </c>
      <c r="T28" s="34" t="str">
        <f aca="false">IF(K28&gt;0,I28/K28,"")</f>
        <v/>
      </c>
      <c r="U28" s="35" t="str">
        <f aca="false">IF(ISNUMBER(P28),P28/10,"")</f>
        <v/>
      </c>
      <c r="V28" s="36" t="str">
        <f aca="false">IF(AND(N28="",O28=""),"",IF(OR(N28&gt;=$C$33,O28&gt;=$C$34),"Above Play limit","OK"))</f>
        <v/>
      </c>
    </row>
    <row r="29" customFormat="false" ht="15" hidden="false" customHeight="false" outlineLevel="0" collapsed="false">
      <c r="A29" s="29"/>
      <c r="B29" s="30"/>
      <c r="C29" s="30"/>
      <c r="D29" s="30"/>
      <c r="E29" s="31"/>
      <c r="F29" s="30"/>
      <c r="G29" s="30"/>
      <c r="H29" s="30"/>
      <c r="I29" s="30"/>
      <c r="J29" s="30"/>
      <c r="K29" s="30"/>
      <c r="L29" s="31"/>
      <c r="M29" s="30"/>
      <c r="N29" s="32"/>
      <c r="O29" s="32"/>
      <c r="P29" s="33"/>
      <c r="Q29" s="34" t="str">
        <f aca="false">IF(C29&gt;0,D29/C29,"")</f>
        <v/>
      </c>
      <c r="R29" s="34" t="str">
        <f aca="false">IF(AND(ISNUMBER(D28),D28&gt;0,ISNUMBER(D29)),D29/D28-1,"")</f>
        <v/>
      </c>
      <c r="S29" s="34" t="str">
        <f aca="false">IF(H29&gt;0,K29/H29,"")</f>
        <v/>
      </c>
      <c r="T29" s="34" t="str">
        <f aca="false">IF(K29&gt;0,I29/K29,"")</f>
        <v/>
      </c>
      <c r="U29" s="35" t="str">
        <f aca="false">IF(ISNUMBER(P29),P29/10,"")</f>
        <v/>
      </c>
      <c r="V29" s="36" t="str">
        <f aca="false">IF(AND(N29="",O29=""),"",IF(OR(N29&gt;=$C$33,O29&gt;=$C$34),"Above Play limit","OK"))</f>
        <v/>
      </c>
    </row>
    <row r="32" customFormat="false" ht="15" hidden="false" customHeight="false" outlineLevel="0" collapsed="false">
      <c r="A32" s="37" t="s">
        <v>1015</v>
      </c>
    </row>
    <row r="33" customFormat="false" ht="15" hidden="false" customHeight="false" outlineLevel="0" collapsed="false">
      <c r="A33" s="38" t="s">
        <v>1016</v>
      </c>
      <c r="C33" s="32" t="n">
        <v>0.0109</v>
      </c>
      <c r="E33" s="15" t="s">
        <v>1017</v>
      </c>
    </row>
    <row r="34" customFormat="false" ht="15" hidden="false" customHeight="false" outlineLevel="0" collapsed="false">
      <c r="A34" s="38" t="s">
        <v>1018</v>
      </c>
      <c r="C34" s="32" t="n">
        <v>0.0047</v>
      </c>
    </row>
    <row r="36" customFormat="false" ht="15" hidden="false" customHeight="false" outlineLevel="0" collapsed="false">
      <c r="A36" s="37" t="s">
        <v>1019</v>
      </c>
    </row>
    <row r="37" customFormat="false" ht="15" hidden="false" customHeight="false" outlineLevel="0" collapsed="false">
      <c r="A37" s="38" t="s">
        <v>1020</v>
      </c>
    </row>
    <row r="38" customFormat="false" ht="15" hidden="false" customHeight="false" outlineLevel="0" collapsed="false">
      <c r="A38" s="38" t="s">
        <v>1021</v>
      </c>
    </row>
    <row r="39" customFormat="false" ht="15" hidden="false" customHeight="false" outlineLevel="0" collapsed="false">
      <c r="A39" s="38" t="s">
        <v>1022</v>
      </c>
    </row>
    <row r="40" customFormat="false" ht="15" hidden="false" customHeight="false" outlineLevel="0" collapsed="false">
      <c r="A40" s="38" t="s">
        <v>1023</v>
      </c>
    </row>
    <row r="41" customFormat="false" ht="15" hidden="false" customHeight="false" outlineLevel="0" collapsed="false">
      <c r="A41" s="38" t="s">
        <v>1024</v>
      </c>
    </row>
    <row r="42" customFormat="false" ht="15" hidden="false" customHeight="false" outlineLevel="0" collapsed="false">
      <c r="A42" s="38" t="s">
        <v>1025</v>
      </c>
    </row>
    <row r="43" customFormat="false" ht="15" hidden="false" customHeight="false" outlineLevel="0" collapsed="false">
      <c r="A43" s="38" t="s">
        <v>1026</v>
      </c>
    </row>
    <row r="44" customFormat="false" ht="15" hidden="false" customHeight="false" outlineLevel="0" collapsed="false">
      <c r="A44" s="38" t="s">
        <v>1027</v>
      </c>
    </row>
    <row r="45" customFormat="false" ht="15" hidden="false" customHeight="false" outlineLevel="0" collapsed="false">
      <c r="A45" s="38" t="s">
        <v>1028</v>
      </c>
    </row>
    <row r="46" customFormat="false" ht="15" hidden="false" customHeight="false" outlineLevel="0" collapsed="false">
      <c r="A46" s="38" t="s">
        <v>1029</v>
      </c>
    </row>
    <row r="48" customFormat="false" ht="15" hidden="false" customHeight="false" outlineLevel="0" collapsed="false">
      <c r="A48" s="37" t="s">
        <v>1030</v>
      </c>
    </row>
    <row r="49" customFormat="false" ht="15" hidden="false" customHeight="false" outlineLevel="0" collapsed="false">
      <c r="A49" s="38" t="s">
        <v>1031</v>
      </c>
    </row>
    <row r="50" customFormat="false" ht="15" hidden="false" customHeight="false" outlineLevel="0" collapsed="false">
      <c r="A50" s="38" t="s">
        <v>1032</v>
      </c>
    </row>
    <row r="51" customFormat="false" ht="15" hidden="false" customHeight="false" outlineLevel="0" collapsed="false">
      <c r="A51" s="38" t="s">
        <v>1033</v>
      </c>
    </row>
    <row r="52" customFormat="false" ht="15" hidden="false" customHeight="false" outlineLevel="0" collapsed="false">
      <c r="A52" s="38" t="s">
        <v>1034</v>
      </c>
    </row>
    <row r="53" customFormat="false" ht="15" hidden="false" customHeight="false" outlineLevel="0" collapsed="false">
      <c r="A53" s="38" t="s">
        <v>1035</v>
      </c>
    </row>
    <row r="54" customFormat="false" ht="15" hidden="false" customHeight="false" outlineLevel="0" collapsed="false">
      <c r="A54" s="38" t="s">
        <v>1036</v>
      </c>
    </row>
    <row r="55" customFormat="false" ht="15" hidden="false" customHeight="false" outlineLevel="0" collapsed="false">
      <c r="A55" s="38" t="s">
        <v>1037</v>
      </c>
    </row>
  </sheetData>
  <conditionalFormatting sqref="V6:V29">
    <cfRule type="cellIs" priority="2" operator="equal" aboveAverage="0" equalAverage="0" bottom="0" percent="0" rank="0" text="" dxfId="24">
      <formula>"OK"</formula>
    </cfRule>
    <cfRule type="cellIs" priority="3" operator="equal" aboveAverage="0" equalAverage="0" bottom="0" percent="0" rank="0" text="" dxfId="21">
      <formula>"Above Play limit"</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LibreOffice/26.2.4.2$MacOSX_X86_64 LibreOffice_project/0229ac93fcf0d7cbc6376066c6f35021cef002dc</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2026-10-07T07:14:17Z</dcterms:created>
  <dc:creator>openpyxl</dc:creator>
  <dc:description/>
  <dc:language>en-GB</dc:language>
  <cp:lastModifiedBy/>
  <dcterms:modified xsi:type="dcterms:W3CDTF">2026-10-07T07:14:17Z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