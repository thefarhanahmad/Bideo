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Prerequisites" sheetId="2" state="visible" r:id="rId4"/>
    <sheet name="2. Pre-Launch" sheetId="3" state="visible" r:id="rId5"/>
    <sheet name="3. Launch" sheetId="4" state="visible" r:id="rId6"/>
    <sheet name="4. Post-Launch" sheetId="5" state="visible" r:id="rId7"/>
    <sheet name="5. Decision Rules" sheetId="6" state="visible" r:id="rId8"/>
    <sheet name="6. KPI Tracker" sheetId="7" state="visible" r:id="rId9"/>
  </sheets>
  <definedNames>
    <definedName function="false" hidden="true" localSheetId="1" name="_xlnm._FilterDatabase" vbProcedure="false">'1. Prerequisites'!$A$4:$I$35</definedName>
    <definedName function="false" hidden="true" localSheetId="2" name="_xlnm._FilterDatabase" vbProcedure="false">'2. Pre-Launch'!$A$4:$I$29</definedName>
    <definedName function="false" hidden="true" localSheetId="3" name="_xlnm._FilterDatabase" vbProcedure="false">'3. Launch'!$A$4:$I$20</definedName>
    <definedName function="false" hidden="true" localSheetId="4" name="_xlnm._FilterDatabase" vbProcedure="false">'4. Post-Launch'!$A$4:$I$21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<sst xmlns="http://schemas.openxmlformats.org/spreadsheetml/2006/main" count="755" uniqueCount="546">
  <si>
    <t xml:space="preserve">Bideo — Meta &amp; Google App Ads Plan</t>
  </si>
  <si>
    <t xml:space="preserve">Goal: get REAL users (people who install AND keep watching / uploading), not just cheap installs.</t>
  </si>
  <si>
    <t xml:space="preserve">The one idea behind this plan</t>
  </si>
  <si>
    <t xml:space="preserve">1. Ads only bring people to the app. The app must keep them — that's why Prerequisites come first.</t>
  </si>
  <si>
    <t xml:space="preserve">2. Meta &amp; Google find your customers FOR you, but only if you (a) track what real users do in the app and (b) tell the ads to find more of them.</t>
  </si>
  <si>
    <t xml:space="preserve">3. Your ad content is your targeting: specific content in a specific language attracts the right people; generic ads attract random people.</t>
  </si>
  <si>
    <t xml:space="preserve">4. Judge ads by cost per ACTIVATED user and day-7 retention — never by cost per install alone.</t>
  </si>
  <si>
    <t xml:space="preserve">Progress by phase</t>
  </si>
  <si>
    <t xml:space="preserve">Tab</t>
  </si>
  <si>
    <t xml:space="preserve">Tasks</t>
  </si>
  <si>
    <t xml:space="preserve">Done</t>
  </si>
  <si>
    <t xml:space="preserve">Must-do left</t>
  </si>
  <si>
    <t xml:space="preserve">% done</t>
  </si>
  <si>
    <t xml:space="preserve">What it covers</t>
  </si>
  <si>
    <t xml:space="preserve">1. Prerequisites</t>
  </si>
  <si>
    <t xml:space="preserve">Inside the app: stability, content, creators, onboarding, retention features, tracking SDKs, policy</t>
  </si>
  <si>
    <t xml:space="preserve">2. Pre-Launch</t>
  </si>
  <si>
    <t xml:space="preserve">Strategy, ad accounts, tracking tests, store page, seed users, audiences, creatives</t>
  </si>
  <si>
    <t xml:space="preserve">3. Launch</t>
  </si>
  <si>
    <t xml:space="preserve">Meta + Google campaign setup, first 7 days</t>
  </si>
  <si>
    <t xml:space="preserve">4. Post-Launch</t>
  </si>
  <si>
    <t xml:space="preserve">Weekly routine, scaling, re-engagement, feedback loop to the product</t>
  </si>
  <si>
    <t xml:space="preserve">Ready to launch ads?</t>
  </si>
  <si>
    <t xml:space="preserve">Suggested timeline</t>
  </si>
  <si>
    <t xml:space="preserve">Weeks 1–3</t>
  </si>
  <si>
    <t xml:space="preserve">Prerequisites (tab 1) — fix the app, fill content, onboard creators, add tracking</t>
  </si>
  <si>
    <t xml:space="preserve">Weeks 2–4</t>
  </si>
  <si>
    <t xml:space="preserve">Pre-Launch (tab 2) — accounts, tracking test, store page, soft launch, creatives</t>
  </si>
  <si>
    <t xml:space="preserve">Week 5</t>
  </si>
  <si>
    <t xml:space="preserve">Launch (tab 3) — small budgets, no edits for 7 days</t>
  </si>
  <si>
    <t xml:space="preserve">Week 6 onwards</t>
  </si>
  <si>
    <t xml:space="preserve">Post-Launch (tab 4) — weekly review with Decision Rules (tab 5) + KPI Tracker (tab 6)</t>
  </si>
  <si>
    <t xml:space="preserve">How to use this file</t>
  </si>
  <si>
    <t xml:space="preserve">• Yellow cells with blue text are for you to fill: Owner and Status in tabs 1–4, numbers in the KPI Tracker.</t>
  </si>
  <si>
    <t xml:space="preserve">• Status options: Not started / In progress / Done / Blocked / Not needed. This page updates automatically.</t>
  </si>
  <si>
    <t xml:space="preserve">• Priority: Must = don't launch without it · Should = do soon after · Nice = when you have time.</t>
  </si>
  <si>
    <t xml:space="preserve">• Every task has a 'Why' column — read it before skipping anything.</t>
  </si>
  <si>
    <t xml:space="preserve">Assumptions &amp; notes</t>
  </si>
  <si>
    <t xml:space="preserve">• bideo.in shows only 'Watch. Create. Grow.' publicly, so this plan assumes: a free video app in India where creators upload and viewers watch; Android first.</t>
  </si>
  <si>
    <t xml:space="preserve">• All ₹ amounts and % targets are EXAMPLES to show the format — not industry benchmarks. Set your own after the first 2 weeks of real data.</t>
  </si>
  <si>
    <t xml:space="preserve">• Platform rules (Meta ~50 conversions/week to exit learning; lookalike seed min. 100 people; Google budget guidance) are as published by Meta/Google — check their help pages, as they change.</t>
  </si>
  <si>
    <t xml:space="preserve">1. Prerequisites — what must be ready INSIDE the app before any ads</t>
  </si>
  <si>
    <t xml:space="preserve">Paid ads only bring people to the door. If the app can't keep them, every rupee is wasted. Finish all 'Must' items here before spending on ads.</t>
  </si>
  <si>
    <t xml:space="preserve">ID</t>
  </si>
  <si>
    <t xml:space="preserve">Area</t>
  </si>
  <si>
    <t xml:space="preserve">Task</t>
  </si>
  <si>
    <t xml:space="preserve">Why it matters (the reason)</t>
  </si>
  <si>
    <t xml:space="preserve">How to do it</t>
  </si>
  <si>
    <t xml:space="preserve">Priority</t>
  </si>
  <si>
    <t xml:space="preserve">Done when…</t>
  </si>
  <si>
    <t xml:space="preserve">Owner</t>
  </si>
  <si>
    <t xml:space="preserve">Status</t>
  </si>
  <si>
    <t xml:space="preserve">A. Stability &amp; speed</t>
  </si>
  <si>
    <t xml:space="preserve">P01</t>
  </si>
  <si>
    <t xml:space="preserve">Performance</t>
  </si>
  <si>
    <t xml:space="preserve">App is stable and crash-free</t>
  </si>
  <si>
    <t xml:space="preserve">People who arrive from an ad have zero loyalty. One crash = uninstall + 1-star review. Bad users also teach Meta/Google to find MORE people like them, so crashes poison your targeting.</t>
  </si>
  <si>
    <t xml:space="preserve">Add Firebase Crashlytics. Fix the top crashes. Test on 3–4 cheap Android phones (₹8–12k range) because that is what most Indian users have.</t>
  </si>
  <si>
    <t xml:space="preserve">Must</t>
  </si>
  <si>
    <t xml:space="preserve">Crash-free users ≥ 99% for 7 days in a row</t>
  </si>
  <si>
    <t xml:space="preserve">Not started</t>
  </si>
  <si>
    <t xml:space="preserve">P02</t>
  </si>
  <si>
    <t xml:space="preserve">Videos start fast, even on slow internet</t>
  </si>
  <si>
    <t xml:space="preserve">If a video buffers on first open, the user leaves before seeing any value — you paid for that install for nothing. Indian mobile networks vary a lot by city and time of day.</t>
  </si>
  <si>
    <t xml:space="preserve">Use adaptive streaming (HLS) so quality drops instead of buffering. Serve videos through a CDN with Indian servers. Show a thumbnail/preview instantly. Test on a 4G and a weak 3G connection.</t>
  </si>
  <si>
    <t xml:space="preserve">First video plays in under ~3 seconds on a mid-range phone on 4G</t>
  </si>
  <si>
    <t xml:space="preserve">P03</t>
  </si>
  <si>
    <t xml:space="preserve">Small app size and fast first launch</t>
  </si>
  <si>
    <t xml:space="preserve">Big apps lose installs in the Play Store (users on low storage cancel). Every extra second on the splash screen loses users.</t>
  </si>
  <si>
    <t xml:space="preserve">Keep the APK/AAB small (use Android App Bundle). Remove heavy unused libraries. Measure cold start time.</t>
  </si>
  <si>
    <t xml:space="preserve">Should</t>
  </si>
  <si>
    <t xml:space="preserve">App opens to content in under ~2–3 seconds</t>
  </si>
  <si>
    <t xml:space="preserve">B. Content &amp; creators (supply side)</t>
  </si>
  <si>
    <t xml:space="preserve">P04</t>
  </si>
  <si>
    <t xml:space="preserve">Content</t>
  </si>
  <si>
    <t xml:space="preserve">Enough content in your launch niche</t>
  </si>
  <si>
    <t xml:space="preserve">The ad promises a type of content (e.g. Tamil comedy). If a new viewer finds only 10 such videos, they finish them and never return — your ad money is wasted.</t>
  </si>
  <si>
    <t xml:space="preserve">Pick ONE launch niche (language + category). Fill it before ads: rough guide — enough videos that a new user can watch daily for a week without repeats (e.g. 200+ videos in that niche).</t>
  </si>
  <si>
    <t xml:space="preserve">A new user can scroll the niche for 30+ minutes without running out</t>
  </si>
  <si>
    <t xml:space="preserve">P05</t>
  </si>
  <si>
    <t xml:space="preserve">Creators</t>
  </si>
  <si>
    <t xml:space="preserve">A core group of active creators</t>
  </si>
  <si>
    <t xml:space="preserve">Viewers come back for NEW content. Without regular uploads the app feels dead by day 3, and retention (what makes ads profitable) collapses.</t>
  </si>
  <si>
    <t xml:space="preserve">Sign up 20–50 creators in the launch niche through direct outreach BEFORE viewer ads. Agree a posting rhythm (e.g. 3 videos/week each).</t>
  </si>
  <si>
    <t xml:space="preserve">New videos added in the niche every day for 2 weeks straight</t>
  </si>
  <si>
    <t xml:space="preserve">P06</t>
  </si>
  <si>
    <t xml:space="preserve">Easy upload from phone</t>
  </si>
  <si>
    <t xml:space="preserve">Creators won't stay if uploading is painful. Fewer creators = less content = viewers leave.</t>
  </si>
  <si>
    <t xml:space="preserve">Upload from gallery, show progress, survive network drops (resumable upload), auto-compress, simple title/tags/language fields.</t>
  </si>
  <si>
    <t xml:space="preserve">A first-time creator uploads a video in under 2 minutes without help</t>
  </si>
  <si>
    <t xml:space="preserve">P07</t>
  </si>
  <si>
    <t xml:space="preserve">Creator dashboard (views, followers, earnings)</t>
  </si>
  <si>
    <t xml:space="preserve">Creators stay where they can SEE growth. This is your main argument against YouTube/Instagram.</t>
  </si>
  <si>
    <t xml:space="preserve">Show views, watch time, followers and earnings (if any) per video. Update at least daily.</t>
  </si>
  <si>
    <t xml:space="preserve">Creators can see stats for each video inside the app</t>
  </si>
  <si>
    <t xml:space="preserve">P08</t>
  </si>
  <si>
    <t xml:space="preserve">Creator profile share link</t>
  </si>
  <si>
    <t xml:space="preserve">Every creator who promotes their Bideo profile brings their fans for free. This lowers your cost per user on ads.</t>
  </si>
  <si>
    <t xml:space="preserve">Each creator gets a link/QR to their profile that opens the app (or Play Store, then the profile).</t>
  </si>
  <si>
    <t xml:space="preserve">Tapping a creator's link on WhatsApp opens their profile in the app</t>
  </si>
  <si>
    <t xml:space="preserve">C. First-time user experience (onboarding)</t>
  </si>
  <si>
    <t xml:space="preserve">P09</t>
  </si>
  <si>
    <t xml:space="preserve">Onboarding</t>
  </si>
  <si>
    <t xml:space="preserve">Let people watch before forcing login</t>
  </si>
  <si>
    <t xml:space="preserve">A login wall before any value is the #1 drop-off point for paid installs. You pay for the install, they quit at the OTP screen.</t>
  </si>
  <si>
    <t xml:space="preserve">Let new users watch 1–3 videos first. Ask to sign in only to like, follow, comment or upload. Offer phone OTP + Google one-tap.</t>
  </si>
  <si>
    <t xml:space="preserve">A new user is watching a video within 10 seconds of first open</t>
  </si>
  <si>
    <t xml:space="preserve">P10</t>
  </si>
  <si>
    <t xml:space="preserve">Language &amp; interest selection on first open</t>
  </si>
  <si>
    <t xml:space="preserve">If a Hindi speaker sees Malayalam videos first, they leave. The first screen must match what the ad promised.</t>
  </si>
  <si>
    <t xml:space="preserve">1 screen: pick language(s); optional: pick 3 interests. Use it to build the first feed. Pre-select based on phone language.</t>
  </si>
  <si>
    <t xml:space="preserve">First feed matches the chosen language 100%</t>
  </si>
  <si>
    <t xml:space="preserve">P11</t>
  </si>
  <si>
    <t xml:space="preserve">Deferred deep links (ad → exact video after install)</t>
  </si>
  <si>
    <t xml:space="preserve">If the ad shows a specific video, the user expects to see THAT video after install. Landing on a generic home screen breaks the promise and hurts activation.</t>
  </si>
  <si>
    <t xml:space="preserve">Use your attribution tool's deep linking (AppsFlyer OneLink / Branch). Note: Firebase Dynamic Links was shut down in Aug 2025 — do not build on it.</t>
  </si>
  <si>
    <t xml:space="preserve">Install from a test ad link opens the promoted video directly</t>
  </si>
  <si>
    <t xml:space="preserve">P12</t>
  </si>
  <si>
    <t xml:space="preserve">Experience</t>
  </si>
  <si>
    <t xml:space="preserve">Personalised feed that learns</t>
  </si>
  <si>
    <t xml:space="preserve">Users who quickly find content they like become regular users. A random feed leads to quick boredom.</t>
  </si>
  <si>
    <t xml:space="preserve">Start simple: rank by language + category + popularity, then add 'more like what you watched'. Even basic rules beat random.</t>
  </si>
  <si>
    <t xml:space="preserve">Feed changes after a user watches 5+ videos in one category</t>
  </si>
  <si>
    <t xml:space="preserve">D. Retention &amp; sharing features</t>
  </si>
  <si>
    <t xml:space="preserve">P13</t>
  </si>
  <si>
    <t xml:space="preserve">Retention</t>
  </si>
  <si>
    <t xml:space="preserve">Push notifications (with permission prompt)</t>
  </si>
  <si>
    <t xml:space="preserve">Most new users forget the app within 1–2 days. Retention is what turns ad spend into real users. Android 13+ needs the user's permission to send notifications.</t>
  </si>
  <si>
    <t xml:space="preserve">Ask for permission at a good moment (after first video, not on launch). Send: new video from followed creator, trending in your language. Max 1–2 per day.</t>
  </si>
  <si>
    <t xml:space="preserve">Notification permission asked after first video; opt-in rate tracked</t>
  </si>
  <si>
    <t xml:space="preserve">P14</t>
  </si>
  <si>
    <t xml:space="preserve">Growth</t>
  </si>
  <si>
    <t xml:space="preserve">Share to WhatsApp / Instagram with a link back to the app</t>
  </si>
  <si>
    <t xml:space="preserve">Free sharing multiplies every paid install. In India, WhatsApp sharing is the biggest free growth channel.</t>
  </si>
  <si>
    <t xml:space="preserve">Share button on every video → WhatsApp first. The link opens the video in the app, or the Play Store if not installed.</t>
  </si>
  <si>
    <t xml:space="preserve">A shared link opens the right video for someone who has the app</t>
  </si>
  <si>
    <t xml:space="preserve">P15</t>
  </si>
  <si>
    <t xml:space="preserve">Referral reward (invite friends)</t>
  </si>
  <si>
    <t xml:space="preserve">A referred user costs you nothing from ads and usually stays longer than a paid one.</t>
  </si>
  <si>
    <t xml:space="preserve">Simple reward: e.g. unlock a feature / badge / coins for inviting 3 friends who install and watch. Track referral source.</t>
  </si>
  <si>
    <t xml:space="preserve">Nice</t>
  </si>
  <si>
    <t xml:space="preserve">Referral installs are tracked separately from paid installs</t>
  </si>
  <si>
    <t xml:space="preserve">P16</t>
  </si>
  <si>
    <t xml:space="preserve">Ask for a Play Store rating at a happy moment</t>
  </si>
  <si>
    <t xml:space="preserve">Store rating directly affects how many people install after clicking your ad (store conversion rate).</t>
  </si>
  <si>
    <t xml:space="preserve">Use the Google Play In-App Review API after e.g. the 10th video watched — never on first open, never after an error.</t>
  </si>
  <si>
    <t xml:space="preserve">Rating prompt live; store rating ≥ 4.0</t>
  </si>
  <si>
    <t xml:space="preserve">E. Tracking inside the app (SDKs &amp; events)</t>
  </si>
  <si>
    <t xml:space="preserve">P17</t>
  </si>
  <si>
    <t xml:space="preserve">Tracking</t>
  </si>
  <si>
    <t xml:space="preserve">Firebase / Google Analytics 4 SDK</t>
  </si>
  <si>
    <t xml:space="preserve">Google Ads App campaigns learn ONLY from events you send. No events = Google optimises for cheap, useless installs.</t>
  </si>
  <si>
    <t xml:space="preserve">Add Firebase SDK. Link Firebase to Google Ads. Verify events in Firebase DebugView.</t>
  </si>
  <si>
    <t xml:space="preserve">Events visible in Firebase DebugView from a test phone</t>
  </si>
  <si>
    <t xml:space="preserve">P18</t>
  </si>
  <si>
    <t xml:space="preserve">Meta (Facebook) SDK</t>
  </si>
  <si>
    <t xml:space="preserve">Same for Meta: without in-app events, Meta can only find 'people who install', not 'people who watch'.</t>
  </si>
  <si>
    <t xml:space="preserve">Add Meta SDK, register the app in Meta for Developers, check events in Events Manager → Test Events.</t>
  </si>
  <si>
    <t xml:space="preserve">Test events visible in Meta Events Manager</t>
  </si>
  <si>
    <t xml:space="preserve">P19</t>
  </si>
  <si>
    <t xml:space="preserve">Attribution tool (MMP: AppsFlyer / Adjust / Branch)</t>
  </si>
  <si>
    <t xml:space="preserve">Meta and Google each claim credit for the same install. An independent tool tells you the truth about which ad brought which user — and which source brings users who stay.</t>
  </si>
  <si>
    <t xml:space="preserve">Pick one (all have free/starter tiers). Add its SDK. Connect it to Meta and Google as an integrated partner.</t>
  </si>
  <si>
    <t xml:space="preserve">Test install from an ad link shows the correct source in the MMP</t>
  </si>
  <si>
    <t xml:space="preserve">P20</t>
  </si>
  <si>
    <t xml:space="preserve">Track the key in-app events</t>
  </si>
  <si>
    <t xml:space="preserve">These events are how you define a 'real customer'. You will tell the ad platforms to find more people who do THESE things.</t>
  </si>
  <si>
    <t xml:space="preserve">Minimum events: first_open, sign_up, video_start, video_complete, watched_3_videos (or 5 min watch time) = 'activated', follow_creator, share, video_uploaded (creators), day-2 return.</t>
  </si>
  <si>
    <t xml:space="preserve">All events fire correctly on a test phone with correct names</t>
  </si>
  <si>
    <t xml:space="preserve">P21</t>
  </si>
  <si>
    <t xml:space="preserve">Define ONE 'activated user' event</t>
  </si>
  <si>
    <t xml:space="preserve">You need one clear signal for 'this user got value'. Ads will be optimised for it. Too easy (app open) = junk users; too rare = not enough data for the algorithm.</t>
  </si>
  <si>
    <t xml:space="preserve">Recommended: 'watched 3+ videos within 24h of install'. Check that 20–40% of new users reach it — if far less, it is too hard for ads to learn from.</t>
  </si>
  <si>
    <t xml:space="preserve">Event exists and is marked as a conversion in Meta &amp; Google</t>
  </si>
  <si>
    <t xml:space="preserve">F. Policy &amp; compliance (ads get rejected without these)</t>
  </si>
  <si>
    <t xml:space="preserve">P22</t>
  </si>
  <si>
    <t xml:space="preserve">Policy</t>
  </si>
  <si>
    <t xml:space="preserve">Content moderation: report &amp; block</t>
  </si>
  <si>
    <t xml:space="preserve">Google Play's user-generated-content policy requires a way to report content and block users. Meta/Google may reject ads or suspend the app if it hosts adult or pirated content.</t>
  </si>
  <si>
    <t xml:space="preserve">Report button on every video and profile; block user; a moderation queue; clear community guidelines in the app.</t>
  </si>
  <si>
    <t xml:space="preserve">Report + block working; moderation process defined</t>
  </si>
  <si>
    <t xml:space="preserve">P23</t>
  </si>
  <si>
    <t xml:space="preserve">Copyright protection (especially movies)</t>
  </si>
  <si>
    <t xml:space="preserve">Pirated movies = takedown notices, Play Store removal and ad account bans. This can kill the whole business, not just the campaign.</t>
  </si>
  <si>
    <t xml:space="preserve">Creators must confirm they own the rights at upload. Fast takedown process. Never use copyrighted clips in your ads.</t>
  </si>
  <si>
    <t xml:space="preserve">Rights confirmation at upload + takedown contact published</t>
  </si>
  <si>
    <t xml:space="preserve">P24</t>
  </si>
  <si>
    <t xml:space="preserve">Privacy policy, terms &amp; account deletion</t>
  </si>
  <si>
    <t xml:space="preserve">Required by Google Play, Meta and Google Ads. Play also requires an in-app (and web) way to delete the account. India's DPDP Act also applies to personal data.</t>
  </si>
  <si>
    <t xml:space="preserve">Publish privacy policy and terms on bideo.in; link them in the app and stores. Add 'Delete account' in settings + a web form.</t>
  </si>
  <si>
    <t xml:space="preserve">Links live; deletion works; Play Data Safety form filled</t>
  </si>
  <si>
    <t xml:space="preserve">P25</t>
  </si>
  <si>
    <t xml:space="preserve">iOS only: App Tracking Transparency prompt</t>
  </si>
  <si>
    <t xml:space="preserve">On iPhone, without the ATT prompt you can't track ad results properly. (Skip if Android-only at launch.)</t>
  </si>
  <si>
    <t xml:space="preserve">Add ATT prompt and SKAdNetwork setup via your MMP.</t>
  </si>
  <si>
    <t xml:space="preserve">ATT prompt shows on iOS test device</t>
  </si>
  <si>
    <t xml:space="preserve">2. Pre-Launch — strategy, tracking, store page, audiences, creatives</t>
  </si>
  <si>
    <t xml:space="preserve">Everything outside the app to prepare before turning ads on. Typical duration: 1–3 weeks.</t>
  </si>
  <si>
    <t xml:space="preserve">A. Strategy (decide before spending anything)</t>
  </si>
  <si>
    <t xml:space="preserve">B01</t>
  </si>
  <si>
    <t xml:space="preserve">Strategy</t>
  </si>
  <si>
    <t xml:space="preserve">Pick ONE launch segment</t>
  </si>
  <si>
    <t xml:space="preserve">Small budgets spread across all of India get learned on nobody. One focused segment lets the algorithm find your people fast and makes your ads speak directly to them.</t>
  </si>
  <si>
    <t xml:space="preserve">Choose: 1 language + 1–2 content categories + the states where that language is spoken. Example: 'Tamil comedy &amp; short films, Tamil Nadu, Android'.</t>
  </si>
  <si>
    <t xml:space="preserve">Segment written down and agreed</t>
  </si>
  <si>
    <t xml:space="preserve">B02</t>
  </si>
  <si>
    <t xml:space="preserve">Write the 'why Bideo' sentence</t>
  </si>
  <si>
    <t xml:space="preserve">Users already have YouTube, Instagram, MX Player. If you can't say why Bideo is different, the ad can't either and nobody installs.</t>
  </si>
  <si>
    <t xml:space="preserve">One sentence for viewers (e.g. 'Fresh Tamil short films every day, free') and one for creators (e.g. 'Get paid from your first 1,000 views').</t>
  </si>
  <si>
    <t xml:space="preserve">Both sentences tested on 5 real people from the segment</t>
  </si>
  <si>
    <t xml:space="preserve">B03</t>
  </si>
  <si>
    <t xml:space="preserve">Set your budget and your maximum cost per real user</t>
  </si>
  <si>
    <t xml:space="preserve">Without a limit you can't decide which ads to stop. You need to know what a user is worth to you.</t>
  </si>
  <si>
    <t xml:space="preserve">Fix a test budget (e.g. ₹1,000–2,000/day per platform for 2–3 weeks). Estimate value per user (ad revenue or subscription) to set the max you can pay per activated user.</t>
  </si>
  <si>
    <t xml:space="preserve">Test budget + target cost per activated user filled in the KPI Tracker</t>
  </si>
  <si>
    <t xml:space="preserve">B04</t>
  </si>
  <si>
    <t xml:space="preserve">Agree success metrics before launch</t>
  </si>
  <si>
    <t xml:space="preserve">If you decide what 'good' means after seeing results, you will fool yourself. Install count alone looks good and means little.</t>
  </si>
  <si>
    <t xml:space="preserve">Main metric: cost per activated user. Supporting: D1 and D7 retention, creators uploading. See the 'Decision Rules' and 'KPI Tracker' tabs.</t>
  </si>
  <si>
    <t xml:space="preserve">Targets entered in KPI Tracker</t>
  </si>
  <si>
    <t xml:space="preserve">B. Accounts &amp; tracking setup</t>
  </si>
  <si>
    <t xml:space="preserve">B05</t>
  </si>
  <si>
    <t xml:space="preserve">Accounts</t>
  </si>
  <si>
    <t xml:space="preserve">Meta Business Manager + ad account + app registered</t>
  </si>
  <si>
    <t xml:space="preserve">Needed to run app ads; verifying the business and domain reduces ad rejections and account bans.</t>
  </si>
  <si>
    <t xml:space="preserve">Create Business Manager, verify business, verify domain bideo.in, add payment method, register the app and link it to the ad account.</t>
  </si>
  <si>
    <t xml:space="preserve">Ad account active; app shows in Events Manager</t>
  </si>
  <si>
    <t xml:space="preserve">B06</t>
  </si>
  <si>
    <t xml:space="preserve">Google Ads account linked to Firebase / GA4</t>
  </si>
  <si>
    <t xml:space="preserve">Google App campaigns need in-app conversions imported from Firebase to optimise for real users.</t>
  </si>
  <si>
    <t xml:space="preserve">Link Firebase project to Google Ads. Import first_open + your activated event as conversions.</t>
  </si>
  <si>
    <t xml:space="preserve">Activated event shows as a conversion in Google Ads</t>
  </si>
  <si>
    <t xml:space="preserve">B07</t>
  </si>
  <si>
    <t xml:space="preserve">End-to-end tracking test</t>
  </si>
  <si>
    <t xml:space="preserve">If tracking is broken, the algorithm learns from wrong data and you make decisions on wrong numbers. Most failed campaigns have a tracking problem.</t>
  </si>
  <si>
    <t xml:space="preserve">Fresh phone → click a test ad link → install → watch 3 videos. Confirm install + events appear in Meta, Google and the MMP with the right source.</t>
  </si>
  <si>
    <t xml:space="preserve">Test install correctly attributed on all 3 tools</t>
  </si>
  <si>
    <t xml:space="preserve">B08</t>
  </si>
  <si>
    <t xml:space="preserve">Pixel on bideo.in</t>
  </si>
  <si>
    <t xml:space="preserve">Lets you retarget website visitors and track people who click 'Download' on the site.</t>
  </si>
  <si>
    <t xml:space="preserve">Add Meta Pixel and Google tag to bideo.in. Track clicks on the Play Store / App Store buttons.</t>
  </si>
  <si>
    <t xml:space="preserve">Pixel events visible in Events Manager</t>
  </si>
  <si>
    <t xml:space="preserve">B09</t>
  </si>
  <si>
    <t xml:space="preserve">Safety</t>
  </si>
  <si>
    <t xml:space="preserve">Spending limits</t>
  </si>
  <si>
    <t xml:space="preserve">A mistake in budget settings can burn a month's money in a day.</t>
  </si>
  <si>
    <t xml:space="preserve">Set an account spending limit on Meta and a daily budget cap on Google.</t>
  </si>
  <si>
    <t xml:space="preserve">Limits set on both accounts</t>
  </si>
  <si>
    <t xml:space="preserve">C. Store page (ASO) — where every paid click lands</t>
  </si>
  <si>
    <t xml:space="preserve">B10</t>
  </si>
  <si>
    <t xml:space="preserve">Store</t>
  </si>
  <si>
    <t xml:space="preserve">Optimise the Play Store listing</t>
  </si>
  <si>
    <t xml:space="preserve">Every ad click lands here. If only 20% of visitors install instead of 40%, every install costs you 2× more.</t>
  </si>
  <si>
    <t xml:space="preserve">Clear title with keywords (e.g. 'Bideo: Watch &amp; Create Videos'), short description with the 'why Bideo' line, 6–8 screenshots showing real content in the target language, a 30s preview video.</t>
  </si>
  <si>
    <t xml:space="preserve">Listing complete; store conversion rate tracked in Play Console</t>
  </si>
  <si>
    <t xml:space="preserve">B11</t>
  </si>
  <si>
    <t xml:space="preserve">Listing in the target language</t>
  </si>
  <si>
    <t xml:space="preserve">People install faster when the store page speaks their language.</t>
  </si>
  <si>
    <t xml:space="preserve">Add a localised listing (Play Console → Store listing → translations) for the launch language.</t>
  </si>
  <si>
    <t xml:space="preserve">Localised listing live</t>
  </si>
  <si>
    <t xml:space="preserve">B12</t>
  </si>
  <si>
    <t xml:space="preserve">Custom store listing for ad traffic</t>
  </si>
  <si>
    <t xml:space="preserve">Lets the store page match the ad exactly (e.g. Tamil ad → Tamil store page with Tamil screenshots).</t>
  </si>
  <si>
    <t xml:space="preserve">Play Console → Custom store listings; use a specific URL for ads.</t>
  </si>
  <si>
    <t xml:space="preserve">Custom listing linked from ads</t>
  </si>
  <si>
    <t xml:space="preserve">B13</t>
  </si>
  <si>
    <t xml:space="preserve">Ratings and reviews before launch</t>
  </si>
  <si>
    <t xml:space="preserve">A new app with 0 or bad ratings converts poorly; ad traffic will check reviews.</t>
  </si>
  <si>
    <t xml:space="preserve">Get the first 30–50 genuine reviews from early users and creators (never fake/paid reviews — against Play policy). Reply to every review.</t>
  </si>
  <si>
    <t xml:space="preserve">Rating ≥ 4.0 with 30+ reviews</t>
  </si>
  <si>
    <t xml:space="preserve">D. Seed users &amp; audiences</t>
  </si>
  <si>
    <t xml:space="preserve">B14</t>
  </si>
  <si>
    <t xml:space="preserve">Seeding</t>
  </si>
  <si>
    <t xml:space="preserve">Soft launch to get the first 300–1,000 real users</t>
  </si>
  <si>
    <t xml:space="preserve">Ad algorithms and lookalikes learn from your existing good users. Starting from zero data makes the first weeks expensive. It also tests the app with real people before you pay for traffic.</t>
  </si>
  <si>
    <t xml:space="preserve">Creators share their Bideo links, WhatsApp groups, college/community groups, friends &amp; family in the target segment.</t>
  </si>
  <si>
    <t xml:space="preserve">300+ installs and first retention numbers available</t>
  </si>
  <si>
    <t xml:space="preserve">B15</t>
  </si>
  <si>
    <t xml:space="preserve">Audiences</t>
  </si>
  <si>
    <t xml:space="preserve">Create the audience lists</t>
  </si>
  <si>
    <t xml:space="preserve">You need to (1) EXCLUDE existing users so you don't pay to reach them again and (2) build LOOKALIKES of your best users — the most reliable way to reach 'actual customers'.</t>
  </si>
  <si>
    <t xml:space="preserve">Meta custom audiences: all installers (to exclude), activated users (lookalike seed — Meta needs 100+ people from one country; 1,000+ works much better).</t>
  </si>
  <si>
    <t xml:space="preserve">Exclusion audience + seed audience created</t>
  </si>
  <si>
    <t xml:space="preserve">E. Ad creatives</t>
  </si>
  <si>
    <t xml:space="preserve">B16</t>
  </si>
  <si>
    <t xml:space="preserve">Creative</t>
  </si>
  <si>
    <t xml:space="preserve">Make 5–10 vertical video ads for viewers</t>
  </si>
  <si>
    <t xml:space="preserve">On Meta and Google today, the ad content IS the targeting: a Tamil comedy clip is only interesting to Tamil comedy fans, so the algorithm shows it to them. Generic ads attract random people.</t>
  </si>
  <si>
    <t xml:space="preserve">9:16 vertical, 10–30s. Hook in the first 2 seconds. Real clips from the app. Target language + subtitles (most people watch muted). End: 'Free on Bideo — Install now'.</t>
  </si>
  <si>
    <t xml:space="preserve">At least 5 approved creatives ready</t>
  </si>
  <si>
    <t xml:space="preserve">B17</t>
  </si>
  <si>
    <t xml:space="preserve">Test different hook types</t>
  </si>
  <si>
    <t xml:space="preserve">You can't know in advance what works. Testing different angles (not small colour changes) finds winners fast.</t>
  </si>
  <si>
    <t xml:space="preserve">Angle ideas: (1) best content teaser, (2) 'POV: you found an app full of ___', (3) creator talking to camera, (4) screen recording of the app, (5) trending/regional moment.</t>
  </si>
  <si>
    <t xml:space="preserve">At least 3 different angles in the first batch</t>
  </si>
  <si>
    <t xml:space="preserve">B18</t>
  </si>
  <si>
    <t xml:space="preserve">Get written permission for clips used in ads</t>
  </si>
  <si>
    <t xml:space="preserve">Using a creator's video in an ad without permission = copyright complaint, ad rejection, and an angry creator.</t>
  </si>
  <si>
    <t xml:space="preserve">Simple consent from each creator whose content appears in ads (WhatsApp/email confirmation is better than nothing; a short agreement is best).</t>
  </si>
  <si>
    <t xml:space="preserve">Consent recorded for every clip used</t>
  </si>
  <si>
    <t xml:space="preserve">B19</t>
  </si>
  <si>
    <t xml:space="preserve">Separate creatives for creators</t>
  </si>
  <si>
    <t xml:space="preserve">Creators and viewers want different things; one ad can't speak to both, so mixing them wastes money on both sides.</t>
  </si>
  <si>
    <t xml:space="preserve">Show earnings/growth: 'I posted my first video on Bideo and got ___ views'. Point to the creator sign-up flow.</t>
  </si>
  <si>
    <t xml:space="preserve">2–3 creator ads ready</t>
  </si>
  <si>
    <t xml:space="preserve">B20</t>
  </si>
  <si>
    <t xml:space="preserve">Static images &amp; text for Google</t>
  </si>
  <si>
    <t xml:space="preserve">Google App campaigns build ads from the assets you give. Too few assets = weak, auto-generated ads.</t>
  </si>
  <si>
    <t xml:space="preserve">Prepare 5 headlines, 5 descriptions, several images (landscape, square, portrait), and videos in portrait + landscape.</t>
  </si>
  <si>
    <t xml:space="preserve">Full asset set uploaded</t>
  </si>
  <si>
    <t xml:space="preserve">3. Launch — setting up and running the campaigns</t>
  </si>
  <si>
    <t xml:space="preserve">How to set up Meta and Google campaigns so they look for REAL users (people who watch), not just installs.</t>
  </si>
  <si>
    <t xml:space="preserve">A. Day-0 checks (just before turning ads on)</t>
  </si>
  <si>
    <t xml:space="preserve">L01</t>
  </si>
  <si>
    <t xml:space="preserve">Checks</t>
  </si>
  <si>
    <t xml:space="preserve">Final tracking + app check</t>
  </si>
  <si>
    <t xml:space="preserve">Turning on ads with broken tracking or a crashing build is the most expensive mistake possible.</t>
  </si>
  <si>
    <t xml:space="preserve">Re-run the end-to-end test on the latest app version. Check Crashlytics. Confirm the Play Store build is the one with all SDKs.</t>
  </si>
  <si>
    <t xml:space="preserve">Test install + activation tracked today</t>
  </si>
  <si>
    <t xml:space="preserve">L02</t>
  </si>
  <si>
    <t xml:space="preserve">Use a naming convention</t>
  </si>
  <si>
    <t xml:space="preserve">When you have 20 ads, clear names make the reports readable and decisions faster.</t>
  </si>
  <si>
    <t xml:space="preserve">Example: Platform_Goal_Segment_Creative_Date → META_ACT_TamilComedy_Hook1_Oct26.</t>
  </si>
  <si>
    <t xml:space="preserve">All campaigns/ads follow it</t>
  </si>
  <si>
    <t xml:space="preserve">B. Meta (Facebook + Instagram)</t>
  </si>
  <si>
    <t xml:space="preserve">L03</t>
  </si>
  <si>
    <t xml:space="preserve">Meta</t>
  </si>
  <si>
    <t xml:space="preserve">Campaign: App promotion → Advantage+ app campaign</t>
  </si>
  <si>
    <t xml:space="preserve">Meta's automated app campaign finds people itself using your creatives and conversion data. With small budgets this usually beats manual targeting.</t>
  </si>
  <si>
    <t xml:space="preserve">Objective: App promotion. Android app, country: India, the states for your language. Language setting: your launch language. Exclude your 'all installers' audience.</t>
  </si>
  <si>
    <t xml:space="preserve">Campaign live</t>
  </si>
  <si>
    <t xml:space="preserve">L04</t>
  </si>
  <si>
    <t xml:space="preserve">Optimisation goal: the activated event (not just installs)</t>
  </si>
  <si>
    <t xml:space="preserve">'Installs' gets you people who install anything for free. 'Activated' (watched 3+ videos) tells Meta to find people who actually watch. Meta needs ~50 such events per week to learn well.</t>
  </si>
  <si>
    <t xml:space="preserve">If you can afford ~50 activations/week → optimise for the activated event. If not, start with installs for 1–2 weeks, then switch once data builds up.</t>
  </si>
  <si>
    <t xml:space="preserve">Goal set as per the rule</t>
  </si>
  <si>
    <t xml:space="preserve">L05</t>
  </si>
  <si>
    <t xml:space="preserve">Budget and structure</t>
  </si>
  <si>
    <t xml:space="preserve">Splitting a small budget across many campaigns starves each one; none of them exit the learning phase.</t>
  </si>
  <si>
    <t xml:space="preserve">1 viewer campaign, 1 ad set, 3–6 creatives (e.g. ₹1,000–2,000/day). Creator campaign separate and smaller.</t>
  </si>
  <si>
    <t xml:space="preserve">Simple structure; budget set</t>
  </si>
  <si>
    <t xml:space="preserve">L06</t>
  </si>
  <si>
    <t xml:space="preserve">Placements</t>
  </si>
  <si>
    <t xml:space="preserve">Reels and Stories fit vertical video. Audience Network (ads in other apps) often brings accidental clicks and low-quality installs.</t>
  </si>
  <si>
    <t xml:space="preserve">Start with Advantage+ placements, but check results by placement after week 1 and remove Audience Network if its users don't activate.</t>
  </si>
  <si>
    <t xml:space="preserve">Placement report reviewed on day 7</t>
  </si>
  <si>
    <t xml:space="preserve">L07</t>
  </si>
  <si>
    <t xml:space="preserve">Creator campaign (separate)</t>
  </si>
  <si>
    <t xml:space="preserve">Creators are a different audience with a different goal. Separate budget = separate learning.</t>
  </si>
  <si>
    <t xml:space="preserve">Small budget. Target interests like video editing, content creation, YouTube/Instagram creators + your language. Send to a creator sign-up page or lead form.</t>
  </si>
  <si>
    <t xml:space="preserve">Creator campaign live</t>
  </si>
  <si>
    <t xml:space="preserve">C. Google (Play Store, YouTube, Search, Display)</t>
  </si>
  <si>
    <t xml:space="preserve">L08</t>
  </si>
  <si>
    <t xml:space="preserve">Google</t>
  </si>
  <si>
    <t xml:space="preserve">App campaign for installs (Android)</t>
  </si>
  <si>
    <t xml:space="preserve">Google places your ad across Play Store search, YouTube, Search and Display — people searching for video apps are high-intent.</t>
  </si>
  <si>
    <t xml:space="preserve">Campaign type: App promotion → App installs. Location: India (or the target states). Language: your launch language + English.</t>
  </si>
  <si>
    <t xml:space="preserve">L09</t>
  </si>
  <si>
    <t xml:space="preserve">Bidding: installs first, then in-app action</t>
  </si>
  <si>
    <t xml:space="preserve">Google also needs data to optimise for deeper events. Google suggests daily budget ≈ 50× target cost-per-install for install campaigns and ≈ 10× target cost-per-action for in-app action campaigns.</t>
  </si>
  <si>
    <t xml:space="preserve">Start with 'install volume' + 'in-app actions' tracking. Once you get ~10+ activated events/day, switch the goal to your activated event with a target cost per action.</t>
  </si>
  <si>
    <t xml:space="preserve">Bidding set; switch date planned</t>
  </si>
  <si>
    <t xml:space="preserve">L10</t>
  </si>
  <si>
    <t xml:space="preserve">Upload ALL asset types</t>
  </si>
  <si>
    <t xml:space="preserve">Google mixes assets into thousands of combinations. More good assets = more places your ad can show well.</t>
  </si>
  <si>
    <t xml:space="preserve">Headlines, descriptions, images in all ratios, YouTube videos in portrait + landscape.</t>
  </si>
  <si>
    <t xml:space="preserve">Asset strength shows 'Good' or 'Excellent'</t>
  </si>
  <si>
    <t xml:space="preserve">D. First 7 days</t>
  </si>
  <si>
    <t xml:space="preserve">L11</t>
  </si>
  <si>
    <t xml:space="preserve">Discipline</t>
  </si>
  <si>
    <t xml:space="preserve">Don't change campaigns during the learning phase</t>
  </si>
  <si>
    <t xml:space="preserve">Every big edit (budget, targeting, goal) restarts learning. Daily tweaking is how most beginners burn money.</t>
  </si>
  <si>
    <t xml:space="preserve">Only act on emergencies: ads rejected, tracking broken, spend far above plan, crashes. Otherwise wait 7 days.</t>
  </si>
  <si>
    <t xml:space="preserve">No edits in the first 7 days except emergencies</t>
  </si>
  <si>
    <t xml:space="preserve">L12</t>
  </si>
  <si>
    <t xml:space="preserve">Monitoring</t>
  </si>
  <si>
    <t xml:space="preserve">Daily 10-minute check</t>
  </si>
  <si>
    <t xml:space="preserve">Catch disasters early without over-managing.</t>
  </si>
  <si>
    <t xml:space="preserve">Check: spend vs plan, rejected ads, installs and activations arriving in all tools, crash rate, new store reviews.</t>
  </si>
  <si>
    <t xml:space="preserve">Checked daily</t>
  </si>
  <si>
    <t xml:space="preserve">4. Post-Launch — measure, optimise, scale</t>
  </si>
  <si>
    <t xml:space="preserve">What to do after ads are live: weekly routine, when to cut, when to scale, and how to feed learnings back into the app.</t>
  </si>
  <si>
    <t xml:space="preserve">A. Every week</t>
  </si>
  <si>
    <t xml:space="preserve">A01</t>
  </si>
  <si>
    <t xml:space="preserve">Measure</t>
  </si>
  <si>
    <t xml:space="preserve">Fill the KPI Tracker</t>
  </si>
  <si>
    <t xml:space="preserve">Decisions must be based on cost per REAL user and retention, not on installs or clicks.</t>
  </si>
  <si>
    <t xml:space="preserve">Copy the numbers from Meta, Google and your MMP into the KPI Tracker tab every Monday.</t>
  </si>
  <si>
    <t xml:space="preserve">Tracker updated weekly</t>
  </si>
  <si>
    <t xml:space="preserve">A02</t>
  </si>
  <si>
    <t xml:space="preserve">Optimise</t>
  </si>
  <si>
    <t xml:space="preserve">Pause losing ads, keep winners</t>
  </si>
  <si>
    <t xml:space="preserve">Most ads fail; a few winners do the work. Moving money from losers to winners is the main way to lower your cost per user.</t>
  </si>
  <si>
    <t xml:space="preserve">Apply the 'Decision Rules' tab. Pause ads that spent 2× your target cost per activated user with no/poor activations.</t>
  </si>
  <si>
    <t xml:space="preserve">Weekly review done</t>
  </si>
  <si>
    <t xml:space="preserve">A03</t>
  </si>
  <si>
    <t xml:space="preserve">Check results by state, placement, device</t>
  </si>
  <si>
    <t xml:space="preserve">Some states or placements bring installs that never watch. Removing them cuts waste immediately.</t>
  </si>
  <si>
    <t xml:space="preserve">Meta: Breakdown → by region / placement. Google: report by network. Cut the worst if they're clearly worse after enough spend.</t>
  </si>
  <si>
    <t xml:space="preserve">Breakdowns reviewed</t>
  </si>
  <si>
    <t xml:space="preserve">A04</t>
  </si>
  <si>
    <t xml:space="preserve">Add new creatives every 2–3 weeks</t>
  </si>
  <si>
    <t xml:space="preserve">People get tired of seeing the same ad (creative fatigue): CTR falls and costs rise.</t>
  </si>
  <si>
    <t xml:space="preserve">Watch frequency (&gt; 3) and falling CTR. Make new versions of the winning angle + 1–2 new angles.</t>
  </si>
  <si>
    <t xml:space="preserve">2–3 new creatives per fortnight</t>
  </si>
  <si>
    <t xml:space="preserve">B. Scaling (when it works)</t>
  </si>
  <si>
    <t xml:space="preserve">A05</t>
  </si>
  <si>
    <t xml:space="preserve">Scale</t>
  </si>
  <si>
    <t xml:space="preserve">Increase budget slowly</t>
  </si>
  <si>
    <t xml:space="preserve">Big budget jumps restart the learning phase and costs spike.</t>
  </si>
  <si>
    <t xml:space="preserve">Raise budget ~20% every 3–4 days while cost per activated user stays on target.</t>
  </si>
  <si>
    <t xml:space="preserve">Budget raised only on target</t>
  </si>
  <si>
    <t xml:space="preserve">A06</t>
  </si>
  <si>
    <t xml:space="preserve">Switch to optimising for deeper events</t>
  </si>
  <si>
    <t xml:space="preserve">Once you have enough data, optimising for 'activated' or even 'returned on day 2' finds better users than installs.</t>
  </si>
  <si>
    <t xml:space="preserve">Meta: change goal to the activated event when you get ~50/week. Google: switch to in-app action bidding at ~10/day.</t>
  </si>
  <si>
    <t xml:space="preserve">Optimisation moved to the activated event</t>
  </si>
  <si>
    <t xml:space="preserve">A07</t>
  </si>
  <si>
    <t xml:space="preserve">Build lookalikes from your BEST users</t>
  </si>
  <si>
    <t xml:space="preserve">Lookalikes of activated/retained users are the most reliable way to find people like your real customers.</t>
  </si>
  <si>
    <t xml:space="preserve">Upload activated users (1,000+ ideally) as a custom audience → 1% lookalike India / target states. Test it against broad.</t>
  </si>
  <si>
    <t xml:space="preserve">Lookalike test running</t>
  </si>
  <si>
    <t xml:space="preserve">A08</t>
  </si>
  <si>
    <t xml:space="preserve">Expand to a 2nd language/niche only after the 1st works</t>
  </si>
  <si>
    <t xml:space="preserve">Expanding before the first segment is profitable doubles the waste instead of the growth.</t>
  </si>
  <si>
    <t xml:space="preserve">Repeat the full checklist (content → creators → creatives) for the new niche.</t>
  </si>
  <si>
    <t xml:space="preserve">1st segment on target for 4 weeks</t>
  </si>
  <si>
    <t xml:space="preserve">C. Bring users back (re-engagement)</t>
  </si>
  <si>
    <t xml:space="preserve">A09</t>
  </si>
  <si>
    <t xml:space="preserve">Retarget</t>
  </si>
  <si>
    <t xml:space="preserve">Re-engage installed-but-inactive users</t>
  </si>
  <si>
    <t xml:space="preserve">Bringing back a user you already paid for is cheaper than buying a new one.</t>
  </si>
  <si>
    <t xml:space="preserve">Push notifications + WhatsApp (with opt-in) + Google App engagement campaign / Meta retargeting of users inactive 7+ days with new content in their language.</t>
  </si>
  <si>
    <t xml:space="preserve">Re-engagement campaign or notification flow live</t>
  </si>
  <si>
    <t xml:space="preserve">D. Learning loop with the product team</t>
  </si>
  <si>
    <t xml:space="preserve">A10</t>
  </si>
  <si>
    <t xml:space="preserve">Product</t>
  </si>
  <si>
    <t xml:space="preserve">Find where users drop off and fix it in the app</t>
  </si>
  <si>
    <t xml:space="preserve">If users install but quit at login or after one video, more ad money won't help — the app must improve. Ads amplify a good product; they can't fix a weak one.</t>
  </si>
  <si>
    <t xml:space="preserve">Funnel in Firebase: install → first video → 3 videos → day-2 return. Find the biggest drop and fix that first.</t>
  </si>
  <si>
    <t xml:space="preserve">Biggest drop-off identified and fixed each month</t>
  </si>
  <si>
    <t xml:space="preserve">A11</t>
  </si>
  <si>
    <t xml:space="preserve">Compare retention by ad source</t>
  </si>
  <si>
    <t xml:space="preserve">Two sources with the same cost per install can bring users of very different quality. Day-7/day-30 retention reveals the truth.</t>
  </si>
  <si>
    <t xml:space="preserve">Use MMP cohort reports: D1/D7/D30 retention by platform, campaign and creative.</t>
  </si>
  <si>
    <t xml:space="preserve">Monthly cohort review</t>
  </si>
  <si>
    <t xml:space="preserve">A12</t>
  </si>
  <si>
    <t xml:space="preserve">Grow creators continuously</t>
  </si>
  <si>
    <t xml:space="preserve">Viewer growth without new creators = content runs out = retention falls.</t>
  </si>
  <si>
    <t xml:space="preserve">Keep outreach going, feature top creators, creator referral bonuses, share success stories as ad creatives.</t>
  </si>
  <si>
    <t xml:space="preserve">Creator count rising monthly</t>
  </si>
  <si>
    <t xml:space="preserve">A13</t>
  </si>
  <si>
    <t xml:space="preserve">Review</t>
  </si>
  <si>
    <t xml:space="preserve">Monthly business review</t>
  </si>
  <si>
    <t xml:space="preserve">Decide whether to scale, hold or fix based on cost per real user vs value per user.</t>
  </si>
  <si>
    <t xml:space="preserve">Compare cost per activated user and D30 retention with value per user. Decide next month's budget.</t>
  </si>
  <si>
    <t xml:space="preserve">Decision recorded every month</t>
  </si>
  <si>
    <t xml:space="preserve">5. Decision Rules — what to do when you see this</t>
  </si>
  <si>
    <t xml:space="preserve">Use these every week with the KPI Tracker. 'Target' = the targets you set at the top of the KPI Tracker.</t>
  </si>
  <si>
    <t xml:space="preserve">Situation</t>
  </si>
  <si>
    <t xml:space="preserve">Signal (how you know)</t>
  </si>
  <si>
    <t xml:space="preserve">Action</t>
  </si>
  <si>
    <t xml:space="preserve">Why</t>
  </si>
  <si>
    <t xml:space="preserve">Ad is a clear loser</t>
  </si>
  <si>
    <t xml:space="preserve">Spent ≥ 2× target cost per activated user AND activations far below target</t>
  </si>
  <si>
    <t xml:space="preserve">Pause the ad. Keep the angle notes so you don't repeat it.</t>
  </si>
  <si>
    <t xml:space="preserve">Enough money has been spent to judge; more spend rarely turns a loser around.</t>
  </si>
  <si>
    <t xml:space="preserve">Ad is a winner</t>
  </si>
  <si>
    <t xml:space="preserve">Cost per activated user ≤ target for 7+ days</t>
  </si>
  <si>
    <t xml:space="preserve">Keep it on; make 2–3 new versions of the same angle; raise budget ~20% every 3–4 days.</t>
  </si>
  <si>
    <t xml:space="preserve">Winners are rare; variations of a winner are the safest new tests.</t>
  </si>
  <si>
    <t xml:space="preserve">Cheap installs, few activations</t>
  </si>
  <si>
    <t xml:space="preserve">Low cost per install but activation % far below your normal</t>
  </si>
  <si>
    <t xml:space="preserve">Check placement (Audience Network?), states, and ad promise vs app reality. Optimise for the activated event instead of installs.</t>
  </si>
  <si>
    <t xml:space="preserve">Cheap installs from the wrong people are the most common hidden waste.</t>
  </si>
  <si>
    <t xml:space="preserve">Many clicks, few installs</t>
  </si>
  <si>
    <t xml:space="preserve">Good CTR but low install rate (installs ÷ clicks)</t>
  </si>
  <si>
    <t xml:space="preserve">Fix the store page: screenshots, language, rating, preview video. Check the ad matches the store page.</t>
  </si>
  <si>
    <t xml:space="preserve">The ad works; the store page is losing the people you paid for.</t>
  </si>
  <si>
    <t xml:space="preserve">Few clicks</t>
  </si>
  <si>
    <t xml:space="preserve">CTR low vs your other ads</t>
  </si>
  <si>
    <t xml:space="preserve">Change the hook (first 2 seconds) and the content shown. Test a new angle, not a new colour.</t>
  </si>
  <si>
    <t xml:space="preserve">People aren't interested in what the ad shows.</t>
  </si>
  <si>
    <t xml:space="preserve">Ad fatigue</t>
  </si>
  <si>
    <t xml:space="preserve">Frequency &gt; 3 and CTR falling week on week</t>
  </si>
  <si>
    <t xml:space="preserve">Add new creatives; retire the tired ones.</t>
  </si>
  <si>
    <t xml:space="preserve">The same people keep seeing the same ad and ignore it.</t>
  </si>
  <si>
    <t xml:space="preserve">Activations good, poor day-7 retention</t>
  </si>
  <si>
    <t xml:space="preserve">Activation % fine but D7 % below target</t>
  </si>
  <si>
    <t xml:space="preserve">Product problem: more fresh content, better notifications, better feed. Hold budget until it improves.</t>
  </si>
  <si>
    <t xml:space="preserve">Users like it at first but find no reason to return; more ads just buy more churn.</t>
  </si>
  <si>
    <t xml:space="preserve">Learning phase never ends</t>
  </si>
  <si>
    <t xml:space="preserve">Meta shows 'Learning limited'</t>
  </si>
  <si>
    <t xml:space="preserve">Merge ad sets, raise budget, or optimise for a more frequent event (e.g. installs or 1 video watched).</t>
  </si>
  <si>
    <t xml:space="preserve">The algorithm needs ~50 conversions/week per ad set to learn.</t>
  </si>
  <si>
    <t xml:space="preserve">Everything on target for 4 weeks</t>
  </si>
  <si>
    <t xml:space="preserve">Cost per activated user + D7 on target</t>
  </si>
  <si>
    <t xml:space="preserve">Scale budget gradually; test lookalikes; plan the 2nd language/niche.</t>
  </si>
  <si>
    <t xml:space="preserve">Proven economics — now growth is the goal.</t>
  </si>
  <si>
    <t xml:space="preserve">Tracking numbers don't match</t>
  </si>
  <si>
    <t xml:space="preserve">Meta/Google/MMP numbers differ a lot (&gt; 20–30%)</t>
  </si>
  <si>
    <t xml:space="preserve">Trust the MMP for comparing sources; re-test tracking end to end.</t>
  </si>
  <si>
    <t xml:space="preserve">Each platform counts in its own favour; one neutral source keeps decisions honest.</t>
  </si>
  <si>
    <t xml:space="preserve">6. KPI Tracker — weekly numbers per platform</t>
  </si>
  <si>
    <t xml:space="preserve">Yellow cells with blue text = you type in. Grey/black cells = calculated automatically. Row 12 is an EXAMPLE — overwrite it with your first real week.</t>
  </si>
  <si>
    <t xml:space="preserve">Targets (set after your first 2 weeks)</t>
  </si>
  <si>
    <t xml:space="preserve">Target cost per activated user (₹)</t>
  </si>
  <si>
    <t xml:space="preserve">Example values only — not benchmarks. Replace with your own numbers based on what a user is worth to you.</t>
  </si>
  <si>
    <t xml:space="preserve">Target activation % (activated ÷ installs)</t>
  </si>
  <si>
    <t xml:space="preserve">Target D1 retention %</t>
  </si>
  <si>
    <t xml:space="preserve">Target D7 retention %</t>
  </si>
  <si>
    <t xml:space="preserve">Inputs (type here)</t>
  </si>
  <si>
    <t xml:space="preserve">Calculated</t>
  </si>
  <si>
    <t xml:space="preserve">Week starting</t>
  </si>
  <si>
    <t xml:space="preserve">Platform</t>
  </si>
  <si>
    <t xml:space="preserve">Spend (₹)</t>
  </si>
  <si>
    <t xml:space="preserve">Impressions</t>
  </si>
  <si>
    <t xml:space="preserve">Clicks</t>
  </si>
  <si>
    <t xml:space="preserve">Installs</t>
  </si>
  <si>
    <t xml:space="preserve">Sign-ups</t>
  </si>
  <si>
    <t xml:space="preserve">Activated users</t>
  </si>
  <si>
    <t xml:space="preserve">Still active day 1</t>
  </si>
  <si>
    <t xml:space="preserve">Still active day 7</t>
  </si>
  <si>
    <t xml:space="preserve">Creators uploaded</t>
  </si>
  <si>
    <t xml:space="preserve">CTR</t>
  </si>
  <si>
    <t xml:space="preserve">Install rate (installs ÷ clicks)</t>
  </si>
  <si>
    <t xml:space="preserve">Cost per install (₹)</t>
  </si>
  <si>
    <t xml:space="preserve">Cost per sign-up (₹)</t>
  </si>
  <si>
    <t xml:space="preserve">Cost per ACTIVATED user (₹)</t>
  </si>
  <si>
    <t xml:space="preserve">Activation %</t>
  </si>
  <si>
    <t xml:space="preserve">D1 retention %</t>
  </si>
  <si>
    <t xml:space="preserve">D7 retention %</t>
  </si>
  <si>
    <t xml:space="preserve">vs target</t>
  </si>
  <si>
    <t xml:space="preserve">TOTAL (all rows)</t>
  </si>
  <si>
    <t xml:space="preserve">What each number means</t>
  </si>
  <si>
    <t xml:space="preserve">Activated user</t>
  </si>
  <si>
    <t xml:space="preserve">A new user who did your 'real customer' action (recommended: watched 3+ videos within 24h of install). Count it from Firebase / your MMP.</t>
  </si>
  <si>
    <t xml:space="preserve">Still active day 1 / day 7</t>
  </si>
  <si>
    <t xml:space="preserve">Of this week's installs, how many opened the app again 1 day / 7 days after installing (from Firebase or MMP retention report).</t>
  </si>
  <si>
    <t xml:space="preserve">Cost per ACTIVATED user</t>
  </si>
  <si>
    <t xml:space="preserve">The most important number: Spend ÷ Activated users. What you actually pay for one real customer.</t>
  </si>
  <si>
    <t xml:space="preserve">Clicks ÷ Impressions — is the ad interesting to the people seeing it?</t>
  </si>
  <si>
    <t xml:space="preserve">Install rate</t>
  </si>
  <si>
    <t xml:space="preserve">Installs ÷ Clicks — is the store page convincing people?</t>
  </si>
  <si>
    <t xml:space="preserve">Example row</t>
  </si>
  <si>
    <t xml:space="preserve">Row 12 shows invented example numbers to show the format. Replace them with your real week.</t>
  </si>
</sst>
</file>

<file path=xl/styles.xml><?xml version="1.0" encoding="utf-8"?>
<styleSheet xmlns="http://schemas.openxmlformats.org/spreadsheetml/2006/main">
  <numFmts count="8">
    <numFmt numFmtId="164" formatCode="General"/>
    <numFmt numFmtId="165" formatCode="0%"/>
    <numFmt numFmtId="166" formatCode="\₹#,##0"/>
    <numFmt numFmtId="167" formatCode="dd\-mmm\-yy"/>
    <numFmt numFmtId="168" formatCode="#,##0"/>
    <numFmt numFmtId="169" formatCode="0.00%"/>
    <numFmt numFmtId="170" formatCode="0.0%"/>
    <numFmt numFmtId="171" formatCode="\₹#,##0.0"/>
  </numFmts>
  <fonts count="24">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404040"/>
      <name val="Arial"/>
      <family val="0"/>
      <charset val="1"/>
    </font>
    <font>
      <b val="true"/>
      <sz val="12"/>
      <color rgb="FF1F3864"/>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9"/>
      <color rgb="FF000000"/>
      <name val="Arial"/>
      <family val="0"/>
      <charset val="1"/>
    </font>
    <font>
      <b val="true"/>
      <sz val="11"/>
      <color rgb="FF000000"/>
      <name val="Arial"/>
      <family val="0"/>
      <charset val="1"/>
    </font>
    <font>
      <sz val="9"/>
      <color rgb="FF595959"/>
      <name val="Arial"/>
      <family val="0"/>
      <charset val="1"/>
    </font>
    <font>
      <b val="true"/>
      <sz val="14"/>
      <color rgb="FF1F3864"/>
      <name val="Arial"/>
      <family val="0"/>
      <charset val="1"/>
    </font>
    <font>
      <i val="true"/>
      <sz val="10"/>
      <color rgb="FF595959"/>
      <name val="Arial"/>
      <family val="0"/>
      <charset val="1"/>
    </font>
    <font>
      <b val="true"/>
      <sz val="10"/>
      <color rgb="FF1F3864"/>
      <name val="Arial"/>
      <family val="0"/>
      <charset val="1"/>
    </font>
    <font>
      <sz val="10"/>
      <color rgb="FF0000FF"/>
      <name val="Arial"/>
      <family val="0"/>
      <charset val="1"/>
    </font>
    <font>
      <b val="true"/>
      <sz val="11"/>
      <color rgb="FF1F3864"/>
      <name val="Arial"/>
      <family val="0"/>
      <charset val="1"/>
    </font>
    <font>
      <i val="true"/>
      <sz val="9"/>
      <color rgb="FFC00000"/>
      <name val="Arial"/>
      <family val="0"/>
      <charset val="1"/>
    </font>
    <font>
      <b val="true"/>
      <sz val="9"/>
      <color rgb="FF1F3864"/>
      <name val="Arial"/>
      <family val="0"/>
      <charset val="1"/>
    </font>
    <font>
      <b val="true"/>
      <sz val="9"/>
      <color rgb="FF404040"/>
      <name val="Arial"/>
      <family val="0"/>
      <charset val="1"/>
    </font>
    <font>
      <b val="true"/>
      <sz val="9"/>
      <color rgb="FFFFFFFF"/>
      <name val="Arial"/>
      <family val="0"/>
      <charset val="1"/>
    </font>
    <font>
      <sz val="9"/>
      <color rgb="FF0000FF"/>
      <name val="Arial"/>
      <family val="0"/>
      <charset val="1"/>
    </font>
    <font>
      <b val="true"/>
      <sz val="9"/>
      <color rgb="FF000000"/>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9E1F2"/>
        <bgColor rgb="FFDDEBF7"/>
      </patternFill>
    </fill>
    <fill>
      <patternFill patternType="solid">
        <fgColor rgb="FFFFF2CC"/>
        <bgColor rgb="FFE2EFDA"/>
      </patternFill>
    </fill>
    <fill>
      <patternFill patternType="solid">
        <fgColor rgb="FF404040"/>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6" fillId="4"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top" textRotation="0" wrapText="true" indent="0" shrinkToFit="false"/>
      <protection locked="true" hidden="false"/>
    </xf>
    <xf numFmtId="164" fontId="21" fillId="5" borderId="1" xfId="0" applyFont="true" applyBorder="true" applyAlignment="true" applyProtection="false">
      <alignment horizontal="center" vertical="top" textRotation="0" wrapText="true" indent="0" shrinkToFit="false"/>
      <protection locked="true" hidden="false"/>
    </xf>
    <xf numFmtId="167" fontId="22" fillId="4" borderId="1" xfId="0" applyFont="true" applyBorder="true" applyAlignment="false" applyProtection="false">
      <alignment horizontal="general" vertical="bottom" textRotation="0" wrapText="false" indent="0" shrinkToFit="false"/>
      <protection locked="true" hidden="false"/>
    </xf>
    <xf numFmtId="164" fontId="22" fillId="4" borderId="1" xfId="0" applyFont="true" applyBorder="true" applyAlignment="false" applyProtection="false">
      <alignment horizontal="general" vertical="bottom" textRotation="0" wrapText="false" indent="0" shrinkToFit="false"/>
      <protection locked="true" hidden="false"/>
    </xf>
    <xf numFmtId="166" fontId="22" fillId="4" borderId="1" xfId="0" applyFont="true" applyBorder="true" applyAlignment="false" applyProtection="false">
      <alignment horizontal="general" vertical="bottom" textRotation="0" wrapText="false" indent="0" shrinkToFit="false"/>
      <protection locked="true" hidden="false"/>
    </xf>
    <xf numFmtId="168" fontId="22" fillId="4"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23" fillId="0" borderId="1" xfId="0" applyFont="true" applyBorder="true" applyAlignment="false" applyProtection="false">
      <alignment horizontal="general" vertical="bottom" textRotation="0" wrapText="false" indent="0" shrinkToFit="false"/>
      <protection locked="true" hidden="false"/>
    </xf>
    <xf numFmtId="168" fontId="23" fillId="0" borderId="1" xfId="0" applyFont="true" applyBorder="true" applyAlignment="false" applyProtection="false">
      <alignment horizontal="general" vertical="bottom" textRotation="0" wrapText="false" indent="0" shrinkToFit="false"/>
      <protection locked="true" hidden="false"/>
    </xf>
    <xf numFmtId="169" fontId="23" fillId="0" borderId="1" xfId="0" applyFont="true" applyBorder="true" applyAlignment="false" applyProtection="false">
      <alignment horizontal="general" vertical="bottom" textRotation="0" wrapText="false" indent="0" shrinkToFit="false"/>
      <protection locked="true" hidden="false"/>
    </xf>
    <xf numFmtId="170" fontId="23" fillId="0" borderId="1" xfId="0"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C6EFCE"/>
        </patternFill>
      </fill>
    </dxf>
    <dxf>
      <fill>
        <patternFill>
          <bgColor rgb="FFFFC7CE"/>
        </patternFill>
      </fill>
    </dxf>
    <dxf>
      <fill>
        <patternFill patternType="solid">
          <fgColor rgb="FF1F3864"/>
          <bgColor rgb="FF000000"/>
        </patternFill>
      </fill>
    </dxf>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9C0006"/>
          <bgColor rgb="FF000000"/>
        </patternFill>
      </fill>
    </dxf>
    <dxf>
      <fill>
        <patternFill patternType="solid">
          <fgColor rgb="FFFFF2CC"/>
          <bgColor rgb="FF000000"/>
        </patternFill>
      </fill>
    </dxf>
    <dxf>
      <fill>
        <patternFill patternType="solid">
          <fgColor rgb="FF0000FF"/>
          <bgColor rgb="FF000000"/>
        </patternFill>
      </fill>
    </dxf>
    <dxf>
      <font>
        <name val="Arial"/>
        <charset val="1"/>
        <family val="0"/>
        <b val="1"/>
        <color rgb="FF9C0006"/>
      </font>
      <fill>
        <patternFill>
          <bgColor rgb="FFF8CBAD"/>
        </patternFill>
      </fill>
    </dxf>
    <dxf>
      <fill>
        <patternFill>
          <bgColor rgb="FFFFE699"/>
        </patternFill>
      </fill>
    </dxf>
    <dxf>
      <fill>
        <patternFill>
          <bgColor rgb="FFE2EFDA"/>
        </patternFill>
      </fill>
    </dxf>
    <dxf>
      <fill>
        <patternFill>
          <bgColor rgb="FFDDEBF7"/>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699"/>
      <rgbColor rgb="FF99CCFF"/>
      <rgbColor rgb="FFFFC7CE"/>
      <rgbColor rgb="FFCC99FF"/>
      <rgbColor rgb="FFF8CBAD"/>
      <rgbColor rgb="FF2E75B6"/>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G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6"/>
    <col collapsed="false" customWidth="true" hidden="false" outlineLevel="0" max="6" min="4" style="0" width="14"/>
    <col collapsed="false" customWidth="true" hidden="false" outlineLevel="0" max="7" min="7" style="0" width="6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4"/>
      <c r="D6" s="4"/>
      <c r="E6" s="4"/>
      <c r="F6" s="4"/>
      <c r="G6" s="4"/>
    </row>
    <row r="7" customFormat="false" ht="15" hidden="false" customHeight="false" outlineLevel="0" collapsed="false">
      <c r="B7" s="4" t="s">
        <v>4</v>
      </c>
      <c r="C7" s="4"/>
      <c r="D7" s="4"/>
      <c r="E7" s="4"/>
      <c r="F7" s="4"/>
      <c r="G7" s="4"/>
    </row>
    <row r="8" customFormat="false" ht="15" hidden="false" customHeight="false" outlineLevel="0" collapsed="false">
      <c r="B8" s="4" t="s">
        <v>5</v>
      </c>
      <c r="C8" s="4"/>
      <c r="D8" s="4"/>
      <c r="E8" s="4"/>
      <c r="F8" s="4"/>
      <c r="G8" s="4"/>
    </row>
    <row r="9" customFormat="false" ht="15" hidden="false" customHeight="false" outlineLevel="0" collapsed="false">
      <c r="B9" s="4" t="s">
        <v>6</v>
      </c>
      <c r="C9" s="4"/>
      <c r="D9" s="4"/>
      <c r="E9" s="4"/>
      <c r="F9" s="4"/>
      <c r="G9" s="4"/>
    </row>
    <row r="11" customFormat="false" ht="15" hidden="false" customHeight="false" outlineLevel="0" collapsed="false">
      <c r="B11" s="3" t="s">
        <v>7</v>
      </c>
    </row>
    <row r="12" customFormat="false" ht="15" hidden="false" customHeight="false" outlineLevel="0" collapsed="false">
      <c r="B12" s="5" t="s">
        <v>8</v>
      </c>
      <c r="C12" s="5" t="s">
        <v>9</v>
      </c>
      <c r="D12" s="5" t="s">
        <v>10</v>
      </c>
      <c r="E12" s="5" t="s">
        <v>11</v>
      </c>
      <c r="F12" s="5" t="s">
        <v>12</v>
      </c>
      <c r="G12" s="5" t="s">
        <v>13</v>
      </c>
    </row>
    <row r="13" customFormat="false" ht="22.35" hidden="false" customHeight="false" outlineLevel="0" collapsed="false">
      <c r="B13" s="6" t="s">
        <v>14</v>
      </c>
      <c r="C13" s="7" t="n">
        <f aca="false">COUNTA('1. Prerequisites'!A5:A35)-COUNTIF('1. Prerequisites'!A5:A35,"* *")</f>
        <v>25</v>
      </c>
      <c r="D13" s="7" t="n">
        <f aca="false">COUNTIF('1. Prerequisites'!I5:I35,"Done")+COUNTIF('1. Prerequisites'!I5:I35,"Not needed")</f>
        <v>0</v>
      </c>
      <c r="E13" s="7" t="n">
        <f aca="false">COUNTIFS('1. Prerequisites'!F5:F35,"Must",'1. Prerequisites'!I5:I35,"&lt;&gt;Done",'1. Prerequisites'!I5:I35,"&lt;&gt;Not needed")</f>
        <v>16</v>
      </c>
      <c r="F13" s="8" t="n">
        <f aca="false">IF(C13&gt;0,D13/C13,0)</f>
        <v>0</v>
      </c>
      <c r="G13" s="9" t="s">
        <v>15</v>
      </c>
    </row>
    <row r="14" customFormat="false" ht="22.35" hidden="false" customHeight="false" outlineLevel="0" collapsed="false">
      <c r="B14" s="6" t="s">
        <v>16</v>
      </c>
      <c r="C14" s="7" t="n">
        <f aca="false">COUNTA('2. Pre-Launch'!A5:A29)-COUNTIF('2. Pre-Launch'!A5:A29,"* *")</f>
        <v>20</v>
      </c>
      <c r="D14" s="7" t="n">
        <f aca="false">COUNTIF('2. Pre-Launch'!I5:I29,"Done")+COUNTIF('2. Pre-Launch'!I5:I29,"Not needed")</f>
        <v>0</v>
      </c>
      <c r="E14" s="7" t="n">
        <f aca="false">COUNTIFS('2. Pre-Launch'!F5:F29,"Must",'2. Pre-Launch'!I5:I29,"&lt;&gt;Done",'2. Pre-Launch'!I5:I29,"&lt;&gt;Not needed")</f>
        <v>12</v>
      </c>
      <c r="F14" s="8" t="n">
        <f aca="false">IF(C14&gt;0,D14/C14,0)</f>
        <v>0</v>
      </c>
      <c r="G14" s="9" t="s">
        <v>17</v>
      </c>
    </row>
    <row r="15" customFormat="false" ht="15" hidden="false" customHeight="false" outlineLevel="0" collapsed="false">
      <c r="B15" s="6" t="s">
        <v>18</v>
      </c>
      <c r="C15" s="7" t="n">
        <f aca="false">COUNTA('3. Launch'!A5:A20)-COUNTIF('3. Launch'!A5:A20,"* *")</f>
        <v>12</v>
      </c>
      <c r="D15" s="7" t="n">
        <f aca="false">COUNTIF('3. Launch'!I5:I20,"Done")+COUNTIF('3. Launch'!I5:I20,"Not needed")</f>
        <v>0</v>
      </c>
      <c r="E15" s="7" t="n">
        <f aca="false">COUNTIFS('3. Launch'!F5:F20,"Must",'3. Launch'!I5:I20,"&lt;&gt;Done",'3. Launch'!I5:I20,"&lt;&gt;Not needed")</f>
        <v>8</v>
      </c>
      <c r="F15" s="8" t="n">
        <f aca="false">IF(C15&gt;0,D15/C15,0)</f>
        <v>0</v>
      </c>
      <c r="G15" s="9" t="s">
        <v>19</v>
      </c>
    </row>
    <row r="16" customFormat="false" ht="15" hidden="false" customHeight="false" outlineLevel="0" collapsed="false">
      <c r="B16" s="6" t="s">
        <v>20</v>
      </c>
      <c r="C16" s="7" t="n">
        <f aca="false">COUNTA('4. Post-Launch'!A5:A21)-COUNTIF('4. Post-Launch'!A5:A21,"* *")</f>
        <v>13</v>
      </c>
      <c r="D16" s="7" t="n">
        <f aca="false">COUNTIF('4. Post-Launch'!I5:I21,"Done")+COUNTIF('4. Post-Launch'!I5:I21,"Not needed")</f>
        <v>0</v>
      </c>
      <c r="E16" s="7" t="n">
        <f aca="false">COUNTIFS('4. Post-Launch'!F5:F21,"Must",'4. Post-Launch'!I5:I21,"&lt;&gt;Done",'4. Post-Launch'!I5:I21,"&lt;&gt;Not needed")</f>
        <v>7</v>
      </c>
      <c r="F16" s="8" t="n">
        <f aca="false">IF(C16&gt;0,D16/C16,0)</f>
        <v>0</v>
      </c>
      <c r="G16" s="9" t="s">
        <v>21</v>
      </c>
    </row>
    <row r="17" customFormat="false" ht="15" hidden="false" customHeight="false" outlineLevel="0" collapsed="false">
      <c r="B17" s="10" t="s">
        <v>22</v>
      </c>
      <c r="C17" s="11" t="str">
        <f aca="false">IF(E13+E14=0,"YES — all Must items done","NOT YET — finish Must items in tabs 1 &amp; 2")</f>
        <v>NOT YET — finish Must items in tabs 1 &amp; 2</v>
      </c>
      <c r="D17" s="11"/>
      <c r="E17" s="11"/>
      <c r="F17" s="11"/>
      <c r="G17" s="11"/>
    </row>
    <row r="19" customFormat="false" ht="15" hidden="false" customHeight="false" outlineLevel="0" collapsed="false">
      <c r="B19" s="3" t="s">
        <v>23</v>
      </c>
    </row>
    <row r="20" customFormat="false" ht="15" hidden="false" customHeight="false" outlineLevel="0" collapsed="false">
      <c r="B20" s="10" t="s">
        <v>24</v>
      </c>
      <c r="C20" s="4" t="s">
        <v>25</v>
      </c>
      <c r="D20" s="4"/>
      <c r="E20" s="4"/>
      <c r="F20" s="4"/>
      <c r="G20" s="4"/>
    </row>
    <row r="21" customFormat="false" ht="15" hidden="false" customHeight="false" outlineLevel="0" collapsed="false">
      <c r="B21" s="10" t="s">
        <v>26</v>
      </c>
      <c r="C21" s="4" t="s">
        <v>27</v>
      </c>
      <c r="D21" s="4"/>
      <c r="E21" s="4"/>
      <c r="F21" s="4"/>
      <c r="G21" s="4"/>
    </row>
    <row r="22" customFormat="false" ht="15" hidden="false" customHeight="false" outlineLevel="0" collapsed="false">
      <c r="B22" s="10" t="s">
        <v>28</v>
      </c>
      <c r="C22" s="4" t="s">
        <v>29</v>
      </c>
      <c r="D22" s="4"/>
      <c r="E22" s="4"/>
      <c r="F22" s="4"/>
      <c r="G22" s="4"/>
    </row>
    <row r="23" customFormat="false" ht="15" hidden="false" customHeight="false" outlineLevel="0" collapsed="false">
      <c r="B23" s="10" t="s">
        <v>30</v>
      </c>
      <c r="C23" s="4" t="s">
        <v>31</v>
      </c>
      <c r="D23" s="4"/>
      <c r="E23" s="4"/>
      <c r="F23" s="4"/>
      <c r="G23" s="4"/>
    </row>
    <row r="25" customFormat="false" ht="15" hidden="false" customHeight="false" outlineLevel="0" collapsed="false">
      <c r="B25" s="3" t="s">
        <v>32</v>
      </c>
    </row>
    <row r="26" customFormat="false" ht="15" hidden="false" customHeight="false" outlineLevel="0" collapsed="false">
      <c r="B26" s="4" t="s">
        <v>33</v>
      </c>
      <c r="C26" s="4"/>
      <c r="D26" s="4"/>
      <c r="E26" s="4"/>
      <c r="F26" s="4"/>
      <c r="G26" s="4"/>
    </row>
    <row r="27" customFormat="false" ht="15" hidden="false" customHeight="false" outlineLevel="0" collapsed="false">
      <c r="B27" s="4" t="s">
        <v>34</v>
      </c>
      <c r="C27" s="4"/>
      <c r="D27" s="4"/>
      <c r="E27" s="4"/>
      <c r="F27" s="4"/>
      <c r="G27" s="4"/>
    </row>
    <row r="28" customFormat="false" ht="15" hidden="false" customHeight="false" outlineLevel="0" collapsed="false">
      <c r="B28" s="4" t="s">
        <v>35</v>
      </c>
      <c r="C28" s="4"/>
      <c r="D28" s="4"/>
      <c r="E28" s="4"/>
      <c r="F28" s="4"/>
      <c r="G28" s="4"/>
    </row>
    <row r="29" customFormat="false" ht="15" hidden="false" customHeight="false" outlineLevel="0" collapsed="false">
      <c r="B29" s="4" t="s">
        <v>36</v>
      </c>
      <c r="C29" s="4"/>
      <c r="D29" s="4"/>
      <c r="E29" s="4"/>
      <c r="F29" s="4"/>
      <c r="G29" s="4"/>
    </row>
    <row r="31" customFormat="false" ht="15" hidden="false" customHeight="false" outlineLevel="0" collapsed="false">
      <c r="B31" s="3" t="s">
        <v>37</v>
      </c>
    </row>
    <row r="32" customFormat="false" ht="25.5" hidden="false" customHeight="true" outlineLevel="0" collapsed="false">
      <c r="B32" s="12" t="s">
        <v>38</v>
      </c>
      <c r="C32" s="12"/>
      <c r="D32" s="12"/>
      <c r="E32" s="12"/>
      <c r="F32" s="12"/>
      <c r="G32" s="12"/>
    </row>
    <row r="33" customFormat="false" ht="25.5" hidden="false" customHeight="true" outlineLevel="0" collapsed="false">
      <c r="B33" s="12" t="s">
        <v>39</v>
      </c>
      <c r="C33" s="12"/>
      <c r="D33" s="12"/>
      <c r="E33" s="12"/>
      <c r="F33" s="12"/>
      <c r="G33" s="12"/>
    </row>
    <row r="34" customFormat="false" ht="25.5" hidden="false" customHeight="true" outlineLevel="0" collapsed="false">
      <c r="B34" s="12" t="s">
        <v>40</v>
      </c>
      <c r="C34" s="12"/>
      <c r="D34" s="12"/>
      <c r="E34" s="12"/>
      <c r="F34" s="12"/>
      <c r="G34" s="12"/>
    </row>
  </sheetData>
  <mergeCells count="16">
    <mergeCell ref="B6:G6"/>
    <mergeCell ref="B7:G7"/>
    <mergeCell ref="B8:G8"/>
    <mergeCell ref="B9:G9"/>
    <mergeCell ref="C17:G17"/>
    <mergeCell ref="C20:G20"/>
    <mergeCell ref="C21:G21"/>
    <mergeCell ref="C22:G22"/>
    <mergeCell ref="C23:G23"/>
    <mergeCell ref="B26:G26"/>
    <mergeCell ref="B27:G27"/>
    <mergeCell ref="B28:G28"/>
    <mergeCell ref="B29:G29"/>
    <mergeCell ref="B32:G32"/>
    <mergeCell ref="B33:G33"/>
    <mergeCell ref="B34:G34"/>
  </mergeCells>
  <conditionalFormatting sqref="C17">
    <cfRule type="expression" priority="2" aboveAverage="0" equalAverage="0" bottom="0" percent="0" rank="0" text="" dxfId="0">
      <formula>LEFT(C17,3)="YES"</formula>
    </cfRule>
    <cfRule type="expression" priority="3" aboveAverage="0" equalAverage="0" bottom="0" percent="0" rank="0" text="" dxfId="1">
      <formula>LEFT(C17,3)="NOT"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4"/>
    <col collapsed="false" customWidth="true" hidden="false" outlineLevel="0" max="5" min="4" style="0" width="52"/>
    <col collapsed="false" customWidth="true" hidden="false" outlineLevel="0" max="6" min="6" style="0" width="10"/>
    <col collapsed="false" customWidth="true" hidden="false" outlineLevel="0" max="7" min="7" style="0" width="3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3" t="s">
        <v>41</v>
      </c>
    </row>
    <row r="2" customFormat="false" ht="30" hidden="false" customHeight="true" outlineLevel="0" collapsed="false">
      <c r="A2" s="14" t="s">
        <v>42</v>
      </c>
      <c r="B2" s="14"/>
      <c r="C2" s="14"/>
      <c r="D2" s="14"/>
      <c r="E2" s="14"/>
      <c r="F2" s="14"/>
      <c r="G2" s="14"/>
      <c r="H2" s="14"/>
      <c r="I2" s="14"/>
    </row>
    <row r="4" customFormat="false" ht="15" hidden="false" customHeight="false" outlineLevel="0" collapsed="false">
      <c r="A4" s="5" t="s">
        <v>43</v>
      </c>
      <c r="B4" s="5" t="s">
        <v>44</v>
      </c>
      <c r="C4" s="5" t="s">
        <v>45</v>
      </c>
      <c r="D4" s="5" t="s">
        <v>46</v>
      </c>
      <c r="E4" s="5" t="s">
        <v>47</v>
      </c>
      <c r="F4" s="5" t="s">
        <v>48</v>
      </c>
      <c r="G4" s="5" t="s">
        <v>49</v>
      </c>
      <c r="H4" s="5" t="s">
        <v>50</v>
      </c>
      <c r="I4" s="5" t="s">
        <v>51</v>
      </c>
    </row>
    <row r="5" customFormat="false" ht="15" hidden="false" customHeight="false" outlineLevel="0" collapsed="false">
      <c r="A5" s="15" t="s">
        <v>52</v>
      </c>
      <c r="B5" s="15"/>
      <c r="C5" s="15"/>
      <c r="D5" s="15"/>
      <c r="E5" s="15"/>
      <c r="F5" s="15"/>
      <c r="G5" s="15"/>
      <c r="H5" s="15"/>
      <c r="I5" s="15"/>
    </row>
    <row r="6" customFormat="false" ht="35.05" hidden="false" customHeight="false" outlineLevel="0" collapsed="false">
      <c r="A6" s="7" t="s">
        <v>53</v>
      </c>
      <c r="B6" s="16" t="s">
        <v>54</v>
      </c>
      <c r="C6" s="17" t="s">
        <v>55</v>
      </c>
      <c r="D6" s="16" t="s">
        <v>56</v>
      </c>
      <c r="E6" s="16" t="s">
        <v>57</v>
      </c>
      <c r="F6" s="7" t="s">
        <v>58</v>
      </c>
      <c r="G6" s="16" t="s">
        <v>59</v>
      </c>
      <c r="H6" s="18"/>
      <c r="I6" s="19" t="s">
        <v>60</v>
      </c>
    </row>
    <row r="7" customFormat="false" ht="46.25" hidden="false" customHeight="false" outlineLevel="0" collapsed="false">
      <c r="A7" s="7" t="s">
        <v>61</v>
      </c>
      <c r="B7" s="16" t="s">
        <v>54</v>
      </c>
      <c r="C7" s="17" t="s">
        <v>62</v>
      </c>
      <c r="D7" s="16" t="s">
        <v>63</v>
      </c>
      <c r="E7" s="16" t="s">
        <v>64</v>
      </c>
      <c r="F7" s="7" t="s">
        <v>58</v>
      </c>
      <c r="G7" s="16" t="s">
        <v>65</v>
      </c>
      <c r="H7" s="18"/>
      <c r="I7" s="19" t="s">
        <v>60</v>
      </c>
    </row>
    <row r="8" customFormat="false" ht="23.85" hidden="false" customHeight="false" outlineLevel="0" collapsed="false">
      <c r="A8" s="7" t="s">
        <v>66</v>
      </c>
      <c r="B8" s="16" t="s">
        <v>54</v>
      </c>
      <c r="C8" s="17" t="s">
        <v>67</v>
      </c>
      <c r="D8" s="16" t="s">
        <v>68</v>
      </c>
      <c r="E8" s="16" t="s">
        <v>69</v>
      </c>
      <c r="F8" s="7" t="s">
        <v>70</v>
      </c>
      <c r="G8" s="16" t="s">
        <v>71</v>
      </c>
      <c r="H8" s="18"/>
      <c r="I8" s="19" t="s">
        <v>60</v>
      </c>
    </row>
    <row r="9" customFormat="false" ht="15" hidden="false" customHeight="false" outlineLevel="0" collapsed="false">
      <c r="A9" s="15" t="s">
        <v>72</v>
      </c>
      <c r="B9" s="15"/>
      <c r="C9" s="15"/>
      <c r="D9" s="15"/>
      <c r="E9" s="15"/>
      <c r="F9" s="15"/>
      <c r="G9" s="15"/>
      <c r="H9" s="15"/>
      <c r="I9" s="15"/>
    </row>
    <row r="10" customFormat="false" ht="35.05" hidden="false" customHeight="false" outlineLevel="0" collapsed="false">
      <c r="A10" s="7" t="s">
        <v>73</v>
      </c>
      <c r="B10" s="16" t="s">
        <v>74</v>
      </c>
      <c r="C10" s="17" t="s">
        <v>75</v>
      </c>
      <c r="D10" s="16" t="s">
        <v>76</v>
      </c>
      <c r="E10" s="16" t="s">
        <v>77</v>
      </c>
      <c r="F10" s="7" t="s">
        <v>58</v>
      </c>
      <c r="G10" s="16" t="s">
        <v>78</v>
      </c>
      <c r="H10" s="18"/>
      <c r="I10" s="19" t="s">
        <v>60</v>
      </c>
    </row>
    <row r="11" customFormat="false" ht="35.05" hidden="false" customHeight="false" outlineLevel="0" collapsed="false">
      <c r="A11" s="7" t="s">
        <v>79</v>
      </c>
      <c r="B11" s="16" t="s">
        <v>80</v>
      </c>
      <c r="C11" s="17" t="s">
        <v>81</v>
      </c>
      <c r="D11" s="16" t="s">
        <v>82</v>
      </c>
      <c r="E11" s="16" t="s">
        <v>83</v>
      </c>
      <c r="F11" s="7" t="s">
        <v>58</v>
      </c>
      <c r="G11" s="16" t="s">
        <v>84</v>
      </c>
      <c r="H11" s="18"/>
      <c r="I11" s="19" t="s">
        <v>60</v>
      </c>
    </row>
    <row r="12" customFormat="false" ht="35.05" hidden="false" customHeight="false" outlineLevel="0" collapsed="false">
      <c r="A12" s="7" t="s">
        <v>85</v>
      </c>
      <c r="B12" s="16" t="s">
        <v>80</v>
      </c>
      <c r="C12" s="17" t="s">
        <v>86</v>
      </c>
      <c r="D12" s="16" t="s">
        <v>87</v>
      </c>
      <c r="E12" s="16" t="s">
        <v>88</v>
      </c>
      <c r="F12" s="7" t="s">
        <v>58</v>
      </c>
      <c r="G12" s="16" t="s">
        <v>89</v>
      </c>
      <c r="H12" s="18"/>
      <c r="I12" s="19" t="s">
        <v>60</v>
      </c>
    </row>
    <row r="13" customFormat="false" ht="23.85" hidden="false" customHeight="false" outlineLevel="0" collapsed="false">
      <c r="A13" s="7" t="s">
        <v>90</v>
      </c>
      <c r="B13" s="16" t="s">
        <v>80</v>
      </c>
      <c r="C13" s="17" t="s">
        <v>91</v>
      </c>
      <c r="D13" s="16" t="s">
        <v>92</v>
      </c>
      <c r="E13" s="16" t="s">
        <v>93</v>
      </c>
      <c r="F13" s="7" t="s">
        <v>70</v>
      </c>
      <c r="G13" s="16" t="s">
        <v>94</v>
      </c>
      <c r="H13" s="18"/>
      <c r="I13" s="19" t="s">
        <v>60</v>
      </c>
    </row>
    <row r="14" customFormat="false" ht="35.05" hidden="false" customHeight="false" outlineLevel="0" collapsed="false">
      <c r="A14" s="7" t="s">
        <v>95</v>
      </c>
      <c r="B14" s="16" t="s">
        <v>80</v>
      </c>
      <c r="C14" s="17" t="s">
        <v>96</v>
      </c>
      <c r="D14" s="16" t="s">
        <v>97</v>
      </c>
      <c r="E14" s="16" t="s">
        <v>98</v>
      </c>
      <c r="F14" s="7" t="s">
        <v>70</v>
      </c>
      <c r="G14" s="16" t="s">
        <v>99</v>
      </c>
      <c r="H14" s="18"/>
      <c r="I14" s="19" t="s">
        <v>60</v>
      </c>
    </row>
    <row r="15" customFormat="false" ht="15" hidden="false" customHeight="false" outlineLevel="0" collapsed="false">
      <c r="A15" s="15" t="s">
        <v>100</v>
      </c>
      <c r="B15" s="15"/>
      <c r="C15" s="15"/>
      <c r="D15" s="15"/>
      <c r="E15" s="15"/>
      <c r="F15" s="15"/>
      <c r="G15" s="15"/>
      <c r="H15" s="15"/>
      <c r="I15" s="15"/>
    </row>
    <row r="16" customFormat="false" ht="23.85" hidden="false" customHeight="false" outlineLevel="0" collapsed="false">
      <c r="A16" s="7" t="s">
        <v>101</v>
      </c>
      <c r="B16" s="16" t="s">
        <v>102</v>
      </c>
      <c r="C16" s="17" t="s">
        <v>103</v>
      </c>
      <c r="D16" s="16" t="s">
        <v>104</v>
      </c>
      <c r="E16" s="16" t="s">
        <v>105</v>
      </c>
      <c r="F16" s="7" t="s">
        <v>58</v>
      </c>
      <c r="G16" s="16" t="s">
        <v>106</v>
      </c>
      <c r="H16" s="18"/>
      <c r="I16" s="19" t="s">
        <v>60</v>
      </c>
    </row>
    <row r="17" customFormat="false" ht="23.85" hidden="false" customHeight="false" outlineLevel="0" collapsed="false">
      <c r="A17" s="7" t="s">
        <v>107</v>
      </c>
      <c r="B17" s="16" t="s">
        <v>102</v>
      </c>
      <c r="C17" s="17" t="s">
        <v>108</v>
      </c>
      <c r="D17" s="16" t="s">
        <v>109</v>
      </c>
      <c r="E17" s="16" t="s">
        <v>110</v>
      </c>
      <c r="F17" s="7" t="s">
        <v>58</v>
      </c>
      <c r="G17" s="16" t="s">
        <v>111</v>
      </c>
      <c r="H17" s="18"/>
      <c r="I17" s="19" t="s">
        <v>60</v>
      </c>
    </row>
    <row r="18" customFormat="false" ht="35.05" hidden="false" customHeight="false" outlineLevel="0" collapsed="false">
      <c r="A18" s="7" t="s">
        <v>112</v>
      </c>
      <c r="B18" s="16" t="s">
        <v>102</v>
      </c>
      <c r="C18" s="17" t="s">
        <v>113</v>
      </c>
      <c r="D18" s="16" t="s">
        <v>114</v>
      </c>
      <c r="E18" s="16" t="s">
        <v>115</v>
      </c>
      <c r="F18" s="7" t="s">
        <v>70</v>
      </c>
      <c r="G18" s="16" t="s">
        <v>116</v>
      </c>
      <c r="H18" s="18"/>
      <c r="I18" s="19" t="s">
        <v>60</v>
      </c>
    </row>
    <row r="19" customFormat="false" ht="23.85" hidden="false" customHeight="false" outlineLevel="0" collapsed="false">
      <c r="A19" s="7" t="s">
        <v>117</v>
      </c>
      <c r="B19" s="16" t="s">
        <v>118</v>
      </c>
      <c r="C19" s="17" t="s">
        <v>119</v>
      </c>
      <c r="D19" s="16" t="s">
        <v>120</v>
      </c>
      <c r="E19" s="16" t="s">
        <v>121</v>
      </c>
      <c r="F19" s="7" t="s">
        <v>70</v>
      </c>
      <c r="G19" s="16" t="s">
        <v>122</v>
      </c>
      <c r="H19" s="18"/>
      <c r="I19" s="19" t="s">
        <v>60</v>
      </c>
    </row>
    <row r="20" customFormat="false" ht="15" hidden="false" customHeight="false" outlineLevel="0" collapsed="false">
      <c r="A20" s="15" t="s">
        <v>123</v>
      </c>
      <c r="B20" s="15"/>
      <c r="C20" s="15"/>
      <c r="D20" s="15"/>
      <c r="E20" s="15"/>
      <c r="F20" s="15"/>
      <c r="G20" s="15"/>
      <c r="H20" s="15"/>
      <c r="I20" s="15"/>
    </row>
    <row r="21" customFormat="false" ht="35.05" hidden="false" customHeight="false" outlineLevel="0" collapsed="false">
      <c r="A21" s="7" t="s">
        <v>124</v>
      </c>
      <c r="B21" s="16" t="s">
        <v>125</v>
      </c>
      <c r="C21" s="17" t="s">
        <v>126</v>
      </c>
      <c r="D21" s="16" t="s">
        <v>127</v>
      </c>
      <c r="E21" s="16" t="s">
        <v>128</v>
      </c>
      <c r="F21" s="7" t="s">
        <v>58</v>
      </c>
      <c r="G21" s="16" t="s">
        <v>129</v>
      </c>
      <c r="H21" s="18"/>
      <c r="I21" s="19" t="s">
        <v>60</v>
      </c>
    </row>
    <row r="22" customFormat="false" ht="23.85" hidden="false" customHeight="false" outlineLevel="0" collapsed="false">
      <c r="A22" s="7" t="s">
        <v>130</v>
      </c>
      <c r="B22" s="16" t="s">
        <v>131</v>
      </c>
      <c r="C22" s="17" t="s">
        <v>132</v>
      </c>
      <c r="D22" s="16" t="s">
        <v>133</v>
      </c>
      <c r="E22" s="16" t="s">
        <v>134</v>
      </c>
      <c r="F22" s="7" t="s">
        <v>58</v>
      </c>
      <c r="G22" s="16" t="s">
        <v>135</v>
      </c>
      <c r="H22" s="18"/>
      <c r="I22" s="19" t="s">
        <v>60</v>
      </c>
    </row>
    <row r="23" customFormat="false" ht="23.85" hidden="false" customHeight="false" outlineLevel="0" collapsed="false">
      <c r="A23" s="7" t="s">
        <v>136</v>
      </c>
      <c r="B23" s="16" t="s">
        <v>131</v>
      </c>
      <c r="C23" s="17" t="s">
        <v>137</v>
      </c>
      <c r="D23" s="16" t="s">
        <v>138</v>
      </c>
      <c r="E23" s="16" t="s">
        <v>139</v>
      </c>
      <c r="F23" s="7" t="s">
        <v>140</v>
      </c>
      <c r="G23" s="16" t="s">
        <v>141</v>
      </c>
      <c r="H23" s="18"/>
      <c r="I23" s="19" t="s">
        <v>60</v>
      </c>
    </row>
    <row r="24" customFormat="false" ht="23.85" hidden="false" customHeight="false" outlineLevel="0" collapsed="false">
      <c r="A24" s="7" t="s">
        <v>142</v>
      </c>
      <c r="B24" s="16" t="s">
        <v>125</v>
      </c>
      <c r="C24" s="17" t="s">
        <v>143</v>
      </c>
      <c r="D24" s="16" t="s">
        <v>144</v>
      </c>
      <c r="E24" s="16" t="s">
        <v>145</v>
      </c>
      <c r="F24" s="7" t="s">
        <v>70</v>
      </c>
      <c r="G24" s="16" t="s">
        <v>146</v>
      </c>
      <c r="H24" s="18"/>
      <c r="I24" s="19" t="s">
        <v>60</v>
      </c>
    </row>
    <row r="25" customFormat="false" ht="15" hidden="false" customHeight="false" outlineLevel="0" collapsed="false">
      <c r="A25" s="15" t="s">
        <v>147</v>
      </c>
      <c r="B25" s="15"/>
      <c r="C25" s="15"/>
      <c r="D25" s="15"/>
      <c r="E25" s="15"/>
      <c r="F25" s="15"/>
      <c r="G25" s="15"/>
      <c r="H25" s="15"/>
      <c r="I25" s="15"/>
    </row>
    <row r="26" customFormat="false" ht="23.85" hidden="false" customHeight="false" outlineLevel="0" collapsed="false">
      <c r="A26" s="7" t="s">
        <v>148</v>
      </c>
      <c r="B26" s="16" t="s">
        <v>149</v>
      </c>
      <c r="C26" s="17" t="s">
        <v>150</v>
      </c>
      <c r="D26" s="16" t="s">
        <v>151</v>
      </c>
      <c r="E26" s="16" t="s">
        <v>152</v>
      </c>
      <c r="F26" s="7" t="s">
        <v>58</v>
      </c>
      <c r="G26" s="16" t="s">
        <v>153</v>
      </c>
      <c r="H26" s="18"/>
      <c r="I26" s="19" t="s">
        <v>60</v>
      </c>
    </row>
    <row r="27" customFormat="false" ht="23.85" hidden="false" customHeight="false" outlineLevel="0" collapsed="false">
      <c r="A27" s="7" t="s">
        <v>154</v>
      </c>
      <c r="B27" s="16" t="s">
        <v>149</v>
      </c>
      <c r="C27" s="17" t="s">
        <v>155</v>
      </c>
      <c r="D27" s="16" t="s">
        <v>156</v>
      </c>
      <c r="E27" s="16" t="s">
        <v>157</v>
      </c>
      <c r="F27" s="7" t="s">
        <v>58</v>
      </c>
      <c r="G27" s="16" t="s">
        <v>158</v>
      </c>
      <c r="H27" s="18"/>
      <c r="I27" s="19" t="s">
        <v>60</v>
      </c>
    </row>
    <row r="28" customFormat="false" ht="35.05" hidden="false" customHeight="false" outlineLevel="0" collapsed="false">
      <c r="A28" s="7" t="s">
        <v>159</v>
      </c>
      <c r="B28" s="16" t="s">
        <v>149</v>
      </c>
      <c r="C28" s="17" t="s">
        <v>160</v>
      </c>
      <c r="D28" s="16" t="s">
        <v>161</v>
      </c>
      <c r="E28" s="16" t="s">
        <v>162</v>
      </c>
      <c r="F28" s="7" t="s">
        <v>70</v>
      </c>
      <c r="G28" s="16" t="s">
        <v>163</v>
      </c>
      <c r="H28" s="18"/>
      <c r="I28" s="19" t="s">
        <v>60</v>
      </c>
    </row>
    <row r="29" customFormat="false" ht="46.25" hidden="false" customHeight="false" outlineLevel="0" collapsed="false">
      <c r="A29" s="7" t="s">
        <v>164</v>
      </c>
      <c r="B29" s="16" t="s">
        <v>149</v>
      </c>
      <c r="C29" s="17" t="s">
        <v>165</v>
      </c>
      <c r="D29" s="16" t="s">
        <v>166</v>
      </c>
      <c r="E29" s="16" t="s">
        <v>167</v>
      </c>
      <c r="F29" s="7" t="s">
        <v>58</v>
      </c>
      <c r="G29" s="16" t="s">
        <v>168</v>
      </c>
      <c r="H29" s="18"/>
      <c r="I29" s="19" t="s">
        <v>60</v>
      </c>
    </row>
    <row r="30" customFormat="false" ht="35.05" hidden="false" customHeight="false" outlineLevel="0" collapsed="false">
      <c r="A30" s="7" t="s">
        <v>169</v>
      </c>
      <c r="B30" s="16" t="s">
        <v>149</v>
      </c>
      <c r="C30" s="17" t="s">
        <v>170</v>
      </c>
      <c r="D30" s="16" t="s">
        <v>171</v>
      </c>
      <c r="E30" s="16" t="s">
        <v>172</v>
      </c>
      <c r="F30" s="7" t="s">
        <v>58</v>
      </c>
      <c r="G30" s="16" t="s">
        <v>173</v>
      </c>
      <c r="H30" s="18"/>
      <c r="I30" s="19" t="s">
        <v>60</v>
      </c>
    </row>
    <row r="31" customFormat="false" ht="15" hidden="false" customHeight="false" outlineLevel="0" collapsed="false">
      <c r="A31" s="15" t="s">
        <v>174</v>
      </c>
      <c r="B31" s="15"/>
      <c r="C31" s="15"/>
      <c r="D31" s="15"/>
      <c r="E31" s="15"/>
      <c r="F31" s="15"/>
      <c r="G31" s="15"/>
      <c r="H31" s="15"/>
      <c r="I31" s="15"/>
    </row>
    <row r="32" customFormat="false" ht="35.05" hidden="false" customHeight="false" outlineLevel="0" collapsed="false">
      <c r="A32" s="7" t="s">
        <v>175</v>
      </c>
      <c r="B32" s="16" t="s">
        <v>176</v>
      </c>
      <c r="C32" s="17" t="s">
        <v>177</v>
      </c>
      <c r="D32" s="16" t="s">
        <v>178</v>
      </c>
      <c r="E32" s="16" t="s">
        <v>179</v>
      </c>
      <c r="F32" s="7" t="s">
        <v>58</v>
      </c>
      <c r="G32" s="16" t="s">
        <v>180</v>
      </c>
      <c r="H32" s="18"/>
      <c r="I32" s="19" t="s">
        <v>60</v>
      </c>
    </row>
    <row r="33" customFormat="false" ht="35.05" hidden="false" customHeight="false" outlineLevel="0" collapsed="false">
      <c r="A33" s="7" t="s">
        <v>181</v>
      </c>
      <c r="B33" s="16" t="s">
        <v>176</v>
      </c>
      <c r="C33" s="17" t="s">
        <v>182</v>
      </c>
      <c r="D33" s="16" t="s">
        <v>183</v>
      </c>
      <c r="E33" s="16" t="s">
        <v>184</v>
      </c>
      <c r="F33" s="7" t="s">
        <v>58</v>
      </c>
      <c r="G33" s="16" t="s">
        <v>185</v>
      </c>
      <c r="H33" s="18"/>
      <c r="I33" s="19" t="s">
        <v>60</v>
      </c>
    </row>
    <row r="34" customFormat="false" ht="35.05" hidden="false" customHeight="false" outlineLevel="0" collapsed="false">
      <c r="A34" s="7" t="s">
        <v>186</v>
      </c>
      <c r="B34" s="16" t="s">
        <v>176</v>
      </c>
      <c r="C34" s="17" t="s">
        <v>187</v>
      </c>
      <c r="D34" s="16" t="s">
        <v>188</v>
      </c>
      <c r="E34" s="16" t="s">
        <v>189</v>
      </c>
      <c r="F34" s="7" t="s">
        <v>58</v>
      </c>
      <c r="G34" s="16" t="s">
        <v>190</v>
      </c>
      <c r="H34" s="18"/>
      <c r="I34" s="19" t="s">
        <v>60</v>
      </c>
    </row>
    <row r="35" customFormat="false" ht="23.85" hidden="false" customHeight="false" outlineLevel="0" collapsed="false">
      <c r="A35" s="7" t="s">
        <v>191</v>
      </c>
      <c r="B35" s="16" t="s">
        <v>176</v>
      </c>
      <c r="C35" s="17" t="s">
        <v>192</v>
      </c>
      <c r="D35" s="16" t="s">
        <v>193</v>
      </c>
      <c r="E35" s="16" t="s">
        <v>194</v>
      </c>
      <c r="F35" s="7" t="s">
        <v>140</v>
      </c>
      <c r="G35" s="16" t="s">
        <v>195</v>
      </c>
      <c r="H35" s="18"/>
      <c r="I35" s="19" t="s">
        <v>60</v>
      </c>
    </row>
  </sheetData>
  <autoFilter ref="A4:I35"/>
  <mergeCells count="7">
    <mergeCell ref="A2:I2"/>
    <mergeCell ref="A5:I5"/>
    <mergeCell ref="A9:I9"/>
    <mergeCell ref="A15:I15"/>
    <mergeCell ref="A20:I20"/>
    <mergeCell ref="A25:I25"/>
    <mergeCell ref="A31:I31"/>
  </mergeCells>
  <conditionalFormatting sqref="F5:F35">
    <cfRule type="cellIs" priority="2" operator="equal" aboveAverage="0" equalAverage="0" bottom="0" percent="0" rank="0" text="" dxfId="13">
      <formula>"Must"</formula>
    </cfRule>
    <cfRule type="cellIs" priority="3" operator="equal" aboveAverage="0" equalAverage="0" bottom="0" percent="0" rank="0" text="" dxfId="14">
      <formula>"Should"</formula>
    </cfRule>
    <cfRule type="cellIs" priority="4" operator="equal" aboveAverage="0" equalAverage="0" bottom="0" percent="0" rank="0" text="" dxfId="15">
      <formula>"Nice"</formula>
    </cfRule>
  </conditionalFormatting>
  <conditionalFormatting sqref="I5:I35">
    <cfRule type="cellIs" priority="5" operator="equal" aboveAverage="0" equalAverage="0" bottom="0" percent="0" rank="0" text="" dxfId="0">
      <formula>"Done"</formula>
    </cfRule>
    <cfRule type="cellIs" priority="6" operator="equal" aboveAverage="0" equalAverage="0" bottom="0" percent="0" rank="0" text="" dxfId="1">
      <formula>"Blocked"</formula>
    </cfRule>
    <cfRule type="cellIs" priority="7" operator="equal" aboveAverage="0" equalAverage="0" bottom="0" percent="0" rank="0" text="" dxfId="16">
      <formula>"In progress"</formula>
    </cfRule>
  </conditionalFormatting>
  <dataValidations count="1">
    <dataValidation allowBlank="true" errorStyle="stop" operator="between" showDropDown="false" showErrorMessage="false" showInputMessage="false" sqref="I5:I35"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4"/>
    <col collapsed="false" customWidth="true" hidden="false" outlineLevel="0" max="5" min="4" style="0" width="52"/>
    <col collapsed="false" customWidth="true" hidden="false" outlineLevel="0" max="6" min="6" style="0" width="10"/>
    <col collapsed="false" customWidth="true" hidden="false" outlineLevel="0" max="7" min="7" style="0" width="3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3" t="s">
        <v>196</v>
      </c>
    </row>
    <row r="2" customFormat="false" ht="30" hidden="false" customHeight="true" outlineLevel="0" collapsed="false">
      <c r="A2" s="14" t="s">
        <v>197</v>
      </c>
      <c r="B2" s="14"/>
      <c r="C2" s="14"/>
      <c r="D2" s="14"/>
      <c r="E2" s="14"/>
      <c r="F2" s="14"/>
      <c r="G2" s="14"/>
      <c r="H2" s="14"/>
      <c r="I2" s="14"/>
    </row>
    <row r="4" customFormat="false" ht="15" hidden="false" customHeight="false" outlineLevel="0" collapsed="false">
      <c r="A4" s="5" t="s">
        <v>43</v>
      </c>
      <c r="B4" s="5" t="s">
        <v>44</v>
      </c>
      <c r="C4" s="5" t="s">
        <v>45</v>
      </c>
      <c r="D4" s="5" t="s">
        <v>46</v>
      </c>
      <c r="E4" s="5" t="s">
        <v>47</v>
      </c>
      <c r="F4" s="5" t="s">
        <v>48</v>
      </c>
      <c r="G4" s="5" t="s">
        <v>49</v>
      </c>
      <c r="H4" s="5" t="s">
        <v>50</v>
      </c>
      <c r="I4" s="5" t="s">
        <v>51</v>
      </c>
    </row>
    <row r="5" customFormat="false" ht="15" hidden="false" customHeight="false" outlineLevel="0" collapsed="false">
      <c r="A5" s="15" t="s">
        <v>198</v>
      </c>
      <c r="B5" s="15"/>
      <c r="C5" s="15"/>
      <c r="D5" s="15"/>
      <c r="E5" s="15"/>
      <c r="F5" s="15"/>
      <c r="G5" s="15"/>
      <c r="H5" s="15"/>
      <c r="I5" s="15"/>
    </row>
    <row r="6" customFormat="false" ht="35.05" hidden="false" customHeight="false" outlineLevel="0" collapsed="false">
      <c r="A6" s="7" t="s">
        <v>199</v>
      </c>
      <c r="B6" s="16" t="s">
        <v>200</v>
      </c>
      <c r="C6" s="17" t="s">
        <v>201</v>
      </c>
      <c r="D6" s="16" t="s">
        <v>202</v>
      </c>
      <c r="E6" s="16" t="s">
        <v>203</v>
      </c>
      <c r="F6" s="7" t="s">
        <v>58</v>
      </c>
      <c r="G6" s="16" t="s">
        <v>204</v>
      </c>
      <c r="H6" s="18"/>
      <c r="I6" s="19" t="s">
        <v>60</v>
      </c>
    </row>
    <row r="7" customFormat="false" ht="35.05" hidden="false" customHeight="false" outlineLevel="0" collapsed="false">
      <c r="A7" s="7" t="s">
        <v>205</v>
      </c>
      <c r="B7" s="16" t="s">
        <v>200</v>
      </c>
      <c r="C7" s="17" t="s">
        <v>206</v>
      </c>
      <c r="D7" s="16" t="s">
        <v>207</v>
      </c>
      <c r="E7" s="16" t="s">
        <v>208</v>
      </c>
      <c r="F7" s="7" t="s">
        <v>58</v>
      </c>
      <c r="G7" s="16" t="s">
        <v>209</v>
      </c>
      <c r="H7" s="18"/>
      <c r="I7" s="19" t="s">
        <v>60</v>
      </c>
    </row>
    <row r="8" customFormat="false" ht="35.05" hidden="false" customHeight="false" outlineLevel="0" collapsed="false">
      <c r="A8" s="7" t="s">
        <v>210</v>
      </c>
      <c r="B8" s="16" t="s">
        <v>200</v>
      </c>
      <c r="C8" s="17" t="s">
        <v>211</v>
      </c>
      <c r="D8" s="16" t="s">
        <v>212</v>
      </c>
      <c r="E8" s="16" t="s">
        <v>213</v>
      </c>
      <c r="F8" s="7" t="s">
        <v>58</v>
      </c>
      <c r="G8" s="16" t="s">
        <v>214</v>
      </c>
      <c r="H8" s="18"/>
      <c r="I8" s="19" t="s">
        <v>60</v>
      </c>
    </row>
    <row r="9" customFormat="false" ht="35.05" hidden="false" customHeight="false" outlineLevel="0" collapsed="false">
      <c r="A9" s="7" t="s">
        <v>215</v>
      </c>
      <c r="B9" s="16" t="s">
        <v>200</v>
      </c>
      <c r="C9" s="17" t="s">
        <v>216</v>
      </c>
      <c r="D9" s="16" t="s">
        <v>217</v>
      </c>
      <c r="E9" s="16" t="s">
        <v>218</v>
      </c>
      <c r="F9" s="7" t="s">
        <v>58</v>
      </c>
      <c r="G9" s="16" t="s">
        <v>219</v>
      </c>
      <c r="H9" s="18"/>
      <c r="I9" s="19" t="s">
        <v>60</v>
      </c>
    </row>
    <row r="10" customFormat="false" ht="15" hidden="false" customHeight="false" outlineLevel="0" collapsed="false">
      <c r="A10" s="15" t="s">
        <v>220</v>
      </c>
      <c r="B10" s="15"/>
      <c r="C10" s="15"/>
      <c r="D10" s="15"/>
      <c r="E10" s="15"/>
      <c r="F10" s="15"/>
      <c r="G10" s="15"/>
      <c r="H10" s="15"/>
      <c r="I10" s="15"/>
    </row>
    <row r="11" customFormat="false" ht="35.05" hidden="false" customHeight="false" outlineLevel="0" collapsed="false">
      <c r="A11" s="7" t="s">
        <v>221</v>
      </c>
      <c r="B11" s="16" t="s">
        <v>222</v>
      </c>
      <c r="C11" s="17" t="s">
        <v>223</v>
      </c>
      <c r="D11" s="16" t="s">
        <v>224</v>
      </c>
      <c r="E11" s="16" t="s">
        <v>225</v>
      </c>
      <c r="F11" s="7" t="s">
        <v>58</v>
      </c>
      <c r="G11" s="16" t="s">
        <v>226</v>
      </c>
      <c r="H11" s="18"/>
      <c r="I11" s="19" t="s">
        <v>60</v>
      </c>
    </row>
    <row r="12" customFormat="false" ht="23.85" hidden="false" customHeight="false" outlineLevel="0" collapsed="false">
      <c r="A12" s="7" t="s">
        <v>227</v>
      </c>
      <c r="B12" s="16" t="s">
        <v>222</v>
      </c>
      <c r="C12" s="17" t="s">
        <v>228</v>
      </c>
      <c r="D12" s="16" t="s">
        <v>229</v>
      </c>
      <c r="E12" s="16" t="s">
        <v>230</v>
      </c>
      <c r="F12" s="7" t="s">
        <v>58</v>
      </c>
      <c r="G12" s="16" t="s">
        <v>231</v>
      </c>
      <c r="H12" s="18"/>
      <c r="I12" s="19" t="s">
        <v>60</v>
      </c>
    </row>
    <row r="13" customFormat="false" ht="35.05" hidden="false" customHeight="false" outlineLevel="0" collapsed="false">
      <c r="A13" s="7" t="s">
        <v>232</v>
      </c>
      <c r="B13" s="16" t="s">
        <v>149</v>
      </c>
      <c r="C13" s="17" t="s">
        <v>233</v>
      </c>
      <c r="D13" s="16" t="s">
        <v>234</v>
      </c>
      <c r="E13" s="16" t="s">
        <v>235</v>
      </c>
      <c r="F13" s="7" t="s">
        <v>58</v>
      </c>
      <c r="G13" s="16" t="s">
        <v>236</v>
      </c>
      <c r="H13" s="18"/>
      <c r="I13" s="19" t="s">
        <v>60</v>
      </c>
    </row>
    <row r="14" customFormat="false" ht="23.85" hidden="false" customHeight="false" outlineLevel="0" collapsed="false">
      <c r="A14" s="7" t="s">
        <v>237</v>
      </c>
      <c r="B14" s="16" t="s">
        <v>149</v>
      </c>
      <c r="C14" s="17" t="s">
        <v>238</v>
      </c>
      <c r="D14" s="16" t="s">
        <v>239</v>
      </c>
      <c r="E14" s="16" t="s">
        <v>240</v>
      </c>
      <c r="F14" s="7" t="s">
        <v>70</v>
      </c>
      <c r="G14" s="16" t="s">
        <v>241</v>
      </c>
      <c r="H14" s="18"/>
      <c r="I14" s="19" t="s">
        <v>60</v>
      </c>
    </row>
    <row r="15" customFormat="false" ht="23.85" hidden="false" customHeight="false" outlineLevel="0" collapsed="false">
      <c r="A15" s="7" t="s">
        <v>242</v>
      </c>
      <c r="B15" s="16" t="s">
        <v>243</v>
      </c>
      <c r="C15" s="17" t="s">
        <v>244</v>
      </c>
      <c r="D15" s="16" t="s">
        <v>245</v>
      </c>
      <c r="E15" s="16" t="s">
        <v>246</v>
      </c>
      <c r="F15" s="7" t="s">
        <v>58</v>
      </c>
      <c r="G15" s="16" t="s">
        <v>247</v>
      </c>
      <c r="H15" s="18"/>
      <c r="I15" s="19" t="s">
        <v>60</v>
      </c>
    </row>
    <row r="16" customFormat="false" ht="15" hidden="false" customHeight="false" outlineLevel="0" collapsed="false">
      <c r="A16" s="15" t="s">
        <v>248</v>
      </c>
      <c r="B16" s="15"/>
      <c r="C16" s="15"/>
      <c r="D16" s="15"/>
      <c r="E16" s="15"/>
      <c r="F16" s="15"/>
      <c r="G16" s="15"/>
      <c r="H16" s="15"/>
      <c r="I16" s="15"/>
    </row>
    <row r="17" customFormat="false" ht="46.25" hidden="false" customHeight="false" outlineLevel="0" collapsed="false">
      <c r="A17" s="7" t="s">
        <v>249</v>
      </c>
      <c r="B17" s="16" t="s">
        <v>250</v>
      </c>
      <c r="C17" s="17" t="s">
        <v>251</v>
      </c>
      <c r="D17" s="16" t="s">
        <v>252</v>
      </c>
      <c r="E17" s="16" t="s">
        <v>253</v>
      </c>
      <c r="F17" s="7" t="s">
        <v>58</v>
      </c>
      <c r="G17" s="16" t="s">
        <v>254</v>
      </c>
      <c r="H17" s="18"/>
      <c r="I17" s="19" t="s">
        <v>60</v>
      </c>
    </row>
    <row r="18" customFormat="false" ht="23.85" hidden="false" customHeight="false" outlineLevel="0" collapsed="false">
      <c r="A18" s="7" t="s">
        <v>255</v>
      </c>
      <c r="B18" s="16" t="s">
        <v>250</v>
      </c>
      <c r="C18" s="17" t="s">
        <v>256</v>
      </c>
      <c r="D18" s="16" t="s">
        <v>257</v>
      </c>
      <c r="E18" s="16" t="s">
        <v>258</v>
      </c>
      <c r="F18" s="7" t="s">
        <v>70</v>
      </c>
      <c r="G18" s="16" t="s">
        <v>259</v>
      </c>
      <c r="H18" s="18"/>
      <c r="I18" s="19" t="s">
        <v>60</v>
      </c>
    </row>
    <row r="19" customFormat="false" ht="23.85" hidden="false" customHeight="false" outlineLevel="0" collapsed="false">
      <c r="A19" s="7" t="s">
        <v>260</v>
      </c>
      <c r="B19" s="16" t="s">
        <v>250</v>
      </c>
      <c r="C19" s="17" t="s">
        <v>261</v>
      </c>
      <c r="D19" s="16" t="s">
        <v>262</v>
      </c>
      <c r="E19" s="16" t="s">
        <v>263</v>
      </c>
      <c r="F19" s="7" t="s">
        <v>140</v>
      </c>
      <c r="G19" s="16" t="s">
        <v>264</v>
      </c>
      <c r="H19" s="18"/>
      <c r="I19" s="19" t="s">
        <v>60</v>
      </c>
    </row>
    <row r="20" customFormat="false" ht="35.05" hidden="false" customHeight="false" outlineLevel="0" collapsed="false">
      <c r="A20" s="7" t="s">
        <v>265</v>
      </c>
      <c r="B20" s="16" t="s">
        <v>250</v>
      </c>
      <c r="C20" s="17" t="s">
        <v>266</v>
      </c>
      <c r="D20" s="16" t="s">
        <v>267</v>
      </c>
      <c r="E20" s="16" t="s">
        <v>268</v>
      </c>
      <c r="F20" s="7" t="s">
        <v>70</v>
      </c>
      <c r="G20" s="16" t="s">
        <v>269</v>
      </c>
      <c r="H20" s="18"/>
      <c r="I20" s="19" t="s">
        <v>60</v>
      </c>
    </row>
    <row r="21" customFormat="false" ht="15" hidden="false" customHeight="false" outlineLevel="0" collapsed="false">
      <c r="A21" s="15" t="s">
        <v>270</v>
      </c>
      <c r="B21" s="15"/>
      <c r="C21" s="15"/>
      <c r="D21" s="15"/>
      <c r="E21" s="15"/>
      <c r="F21" s="15"/>
      <c r="G21" s="15"/>
      <c r="H21" s="15"/>
      <c r="I21" s="15"/>
    </row>
    <row r="22" customFormat="false" ht="35.05" hidden="false" customHeight="false" outlineLevel="0" collapsed="false">
      <c r="A22" s="7" t="s">
        <v>271</v>
      </c>
      <c r="B22" s="16" t="s">
        <v>272</v>
      </c>
      <c r="C22" s="17" t="s">
        <v>273</v>
      </c>
      <c r="D22" s="16" t="s">
        <v>274</v>
      </c>
      <c r="E22" s="16" t="s">
        <v>275</v>
      </c>
      <c r="F22" s="7" t="s">
        <v>70</v>
      </c>
      <c r="G22" s="16" t="s">
        <v>276</v>
      </c>
      <c r="H22" s="18"/>
      <c r="I22" s="19" t="s">
        <v>60</v>
      </c>
    </row>
    <row r="23" customFormat="false" ht="35.05" hidden="false" customHeight="false" outlineLevel="0" collapsed="false">
      <c r="A23" s="7" t="s">
        <v>277</v>
      </c>
      <c r="B23" s="16" t="s">
        <v>278</v>
      </c>
      <c r="C23" s="17" t="s">
        <v>279</v>
      </c>
      <c r="D23" s="16" t="s">
        <v>280</v>
      </c>
      <c r="E23" s="16" t="s">
        <v>281</v>
      </c>
      <c r="F23" s="7" t="s">
        <v>58</v>
      </c>
      <c r="G23" s="16" t="s">
        <v>282</v>
      </c>
      <c r="H23" s="18"/>
      <c r="I23" s="19" t="s">
        <v>60</v>
      </c>
    </row>
    <row r="24" customFormat="false" ht="15" hidden="false" customHeight="false" outlineLevel="0" collapsed="false">
      <c r="A24" s="15" t="s">
        <v>283</v>
      </c>
      <c r="B24" s="15"/>
      <c r="C24" s="15"/>
      <c r="D24" s="15"/>
      <c r="E24" s="15"/>
      <c r="F24" s="15"/>
      <c r="G24" s="15"/>
      <c r="H24" s="15"/>
      <c r="I24" s="15"/>
    </row>
    <row r="25" customFormat="false" ht="46.25" hidden="false" customHeight="false" outlineLevel="0" collapsed="false">
      <c r="A25" s="7" t="s">
        <v>284</v>
      </c>
      <c r="B25" s="16" t="s">
        <v>285</v>
      </c>
      <c r="C25" s="17" t="s">
        <v>286</v>
      </c>
      <c r="D25" s="16" t="s">
        <v>287</v>
      </c>
      <c r="E25" s="16" t="s">
        <v>288</v>
      </c>
      <c r="F25" s="7" t="s">
        <v>58</v>
      </c>
      <c r="G25" s="16" t="s">
        <v>289</v>
      </c>
      <c r="H25" s="18"/>
      <c r="I25" s="19" t="s">
        <v>60</v>
      </c>
    </row>
    <row r="26" customFormat="false" ht="35.05" hidden="false" customHeight="false" outlineLevel="0" collapsed="false">
      <c r="A26" s="7" t="s">
        <v>290</v>
      </c>
      <c r="B26" s="16" t="s">
        <v>285</v>
      </c>
      <c r="C26" s="17" t="s">
        <v>291</v>
      </c>
      <c r="D26" s="16" t="s">
        <v>292</v>
      </c>
      <c r="E26" s="16" t="s">
        <v>293</v>
      </c>
      <c r="F26" s="7" t="s">
        <v>70</v>
      </c>
      <c r="G26" s="16" t="s">
        <v>294</v>
      </c>
      <c r="H26" s="18"/>
      <c r="I26" s="19" t="s">
        <v>60</v>
      </c>
    </row>
    <row r="27" customFormat="false" ht="35.05" hidden="false" customHeight="false" outlineLevel="0" collapsed="false">
      <c r="A27" s="7" t="s">
        <v>295</v>
      </c>
      <c r="B27" s="16" t="s">
        <v>285</v>
      </c>
      <c r="C27" s="17" t="s">
        <v>296</v>
      </c>
      <c r="D27" s="16" t="s">
        <v>297</v>
      </c>
      <c r="E27" s="16" t="s">
        <v>298</v>
      </c>
      <c r="F27" s="7" t="s">
        <v>58</v>
      </c>
      <c r="G27" s="16" t="s">
        <v>299</v>
      </c>
      <c r="H27" s="18"/>
      <c r="I27" s="19" t="s">
        <v>60</v>
      </c>
    </row>
    <row r="28" customFormat="false" ht="23.85" hidden="false" customHeight="false" outlineLevel="0" collapsed="false">
      <c r="A28" s="7" t="s">
        <v>300</v>
      </c>
      <c r="B28" s="16" t="s">
        <v>285</v>
      </c>
      <c r="C28" s="17" t="s">
        <v>301</v>
      </c>
      <c r="D28" s="16" t="s">
        <v>302</v>
      </c>
      <c r="E28" s="16" t="s">
        <v>303</v>
      </c>
      <c r="F28" s="7" t="s">
        <v>70</v>
      </c>
      <c r="G28" s="16" t="s">
        <v>304</v>
      </c>
      <c r="H28" s="18"/>
      <c r="I28" s="19" t="s">
        <v>60</v>
      </c>
    </row>
    <row r="29" customFormat="false" ht="23.85" hidden="false" customHeight="false" outlineLevel="0" collapsed="false">
      <c r="A29" s="7" t="s">
        <v>305</v>
      </c>
      <c r="B29" s="16" t="s">
        <v>285</v>
      </c>
      <c r="C29" s="17" t="s">
        <v>306</v>
      </c>
      <c r="D29" s="16" t="s">
        <v>307</v>
      </c>
      <c r="E29" s="16" t="s">
        <v>308</v>
      </c>
      <c r="F29" s="7" t="s">
        <v>70</v>
      </c>
      <c r="G29" s="16" t="s">
        <v>309</v>
      </c>
      <c r="H29" s="18"/>
      <c r="I29" s="19" t="s">
        <v>60</v>
      </c>
    </row>
  </sheetData>
  <autoFilter ref="A4:I29"/>
  <mergeCells count="6">
    <mergeCell ref="A2:I2"/>
    <mergeCell ref="A5:I5"/>
    <mergeCell ref="A10:I10"/>
    <mergeCell ref="A16:I16"/>
    <mergeCell ref="A21:I21"/>
    <mergeCell ref="A24:I24"/>
  </mergeCells>
  <conditionalFormatting sqref="F5:F29">
    <cfRule type="cellIs" priority="2" operator="equal" aboveAverage="0" equalAverage="0" bottom="0" percent="0" rank="0" text="" dxfId="13">
      <formula>"Must"</formula>
    </cfRule>
    <cfRule type="cellIs" priority="3" operator="equal" aboveAverage="0" equalAverage="0" bottom="0" percent="0" rank="0" text="" dxfId="14">
      <formula>"Should"</formula>
    </cfRule>
    <cfRule type="cellIs" priority="4" operator="equal" aboveAverage="0" equalAverage="0" bottom="0" percent="0" rank="0" text="" dxfId="15">
      <formula>"Nice"</formula>
    </cfRule>
  </conditionalFormatting>
  <conditionalFormatting sqref="I5:I29">
    <cfRule type="cellIs" priority="5" operator="equal" aboveAverage="0" equalAverage="0" bottom="0" percent="0" rank="0" text="" dxfId="0">
      <formula>"Done"</formula>
    </cfRule>
    <cfRule type="cellIs" priority="6" operator="equal" aboveAverage="0" equalAverage="0" bottom="0" percent="0" rank="0" text="" dxfId="1">
      <formula>"Blocked"</formula>
    </cfRule>
    <cfRule type="cellIs" priority="7" operator="equal" aboveAverage="0" equalAverage="0" bottom="0" percent="0" rank="0" text="" dxfId="16">
      <formula>"In progress"</formula>
    </cfRule>
  </conditionalFormatting>
  <dataValidations count="1">
    <dataValidation allowBlank="true" errorStyle="stop" operator="between" showDropDown="false" showErrorMessage="false" showInputMessage="false" sqref="I5:I29"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4"/>
    <col collapsed="false" customWidth="true" hidden="false" outlineLevel="0" max="5" min="4" style="0" width="52"/>
    <col collapsed="false" customWidth="true" hidden="false" outlineLevel="0" max="6" min="6" style="0" width="10"/>
    <col collapsed="false" customWidth="true" hidden="false" outlineLevel="0" max="7" min="7" style="0" width="3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3" t="s">
        <v>310</v>
      </c>
    </row>
    <row r="2" customFormat="false" ht="30" hidden="false" customHeight="true" outlineLevel="0" collapsed="false">
      <c r="A2" s="14" t="s">
        <v>311</v>
      </c>
      <c r="B2" s="14"/>
      <c r="C2" s="14"/>
      <c r="D2" s="14"/>
      <c r="E2" s="14"/>
      <c r="F2" s="14"/>
      <c r="G2" s="14"/>
      <c r="H2" s="14"/>
      <c r="I2" s="14"/>
    </row>
    <row r="4" customFormat="false" ht="15" hidden="false" customHeight="false" outlineLevel="0" collapsed="false">
      <c r="A4" s="5" t="s">
        <v>43</v>
      </c>
      <c r="B4" s="5" t="s">
        <v>44</v>
      </c>
      <c r="C4" s="5" t="s">
        <v>45</v>
      </c>
      <c r="D4" s="5" t="s">
        <v>46</v>
      </c>
      <c r="E4" s="5" t="s">
        <v>47</v>
      </c>
      <c r="F4" s="5" t="s">
        <v>48</v>
      </c>
      <c r="G4" s="5" t="s">
        <v>49</v>
      </c>
      <c r="H4" s="5" t="s">
        <v>50</v>
      </c>
      <c r="I4" s="5" t="s">
        <v>51</v>
      </c>
    </row>
    <row r="5" customFormat="false" ht="15" hidden="false" customHeight="false" outlineLevel="0" collapsed="false">
      <c r="A5" s="15" t="s">
        <v>312</v>
      </c>
      <c r="B5" s="15"/>
      <c r="C5" s="15"/>
      <c r="D5" s="15"/>
      <c r="E5" s="15"/>
      <c r="F5" s="15"/>
      <c r="G5" s="15"/>
      <c r="H5" s="15"/>
      <c r="I5" s="15"/>
    </row>
    <row r="6" customFormat="false" ht="35.05" hidden="false" customHeight="false" outlineLevel="0" collapsed="false">
      <c r="A6" s="7" t="s">
        <v>313</v>
      </c>
      <c r="B6" s="16" t="s">
        <v>314</v>
      </c>
      <c r="C6" s="17" t="s">
        <v>315</v>
      </c>
      <c r="D6" s="16" t="s">
        <v>316</v>
      </c>
      <c r="E6" s="16" t="s">
        <v>317</v>
      </c>
      <c r="F6" s="7" t="s">
        <v>58</v>
      </c>
      <c r="G6" s="16" t="s">
        <v>318</v>
      </c>
      <c r="H6" s="18"/>
      <c r="I6" s="19" t="s">
        <v>60</v>
      </c>
    </row>
    <row r="7" customFormat="false" ht="23.85" hidden="false" customHeight="false" outlineLevel="0" collapsed="false">
      <c r="A7" s="7" t="s">
        <v>319</v>
      </c>
      <c r="B7" s="16" t="s">
        <v>314</v>
      </c>
      <c r="C7" s="17" t="s">
        <v>320</v>
      </c>
      <c r="D7" s="16" t="s">
        <v>321</v>
      </c>
      <c r="E7" s="16" t="s">
        <v>322</v>
      </c>
      <c r="F7" s="7" t="s">
        <v>70</v>
      </c>
      <c r="G7" s="16" t="s">
        <v>323</v>
      </c>
      <c r="H7" s="18"/>
      <c r="I7" s="19" t="s">
        <v>60</v>
      </c>
    </row>
    <row r="8" customFormat="false" ht="15" hidden="false" customHeight="false" outlineLevel="0" collapsed="false">
      <c r="A8" s="15" t="s">
        <v>324</v>
      </c>
      <c r="B8" s="15"/>
      <c r="C8" s="15"/>
      <c r="D8" s="15"/>
      <c r="E8" s="15"/>
      <c r="F8" s="15"/>
      <c r="G8" s="15"/>
      <c r="H8" s="15"/>
      <c r="I8" s="15"/>
    </row>
    <row r="9" customFormat="false" ht="35.05" hidden="false" customHeight="false" outlineLevel="0" collapsed="false">
      <c r="A9" s="7" t="s">
        <v>325</v>
      </c>
      <c r="B9" s="16" t="s">
        <v>326</v>
      </c>
      <c r="C9" s="17" t="s">
        <v>327</v>
      </c>
      <c r="D9" s="16" t="s">
        <v>328</v>
      </c>
      <c r="E9" s="16" t="s">
        <v>329</v>
      </c>
      <c r="F9" s="7" t="s">
        <v>58</v>
      </c>
      <c r="G9" s="16" t="s">
        <v>330</v>
      </c>
      <c r="H9" s="18"/>
      <c r="I9" s="19" t="s">
        <v>60</v>
      </c>
    </row>
    <row r="10" customFormat="false" ht="35.05" hidden="false" customHeight="false" outlineLevel="0" collapsed="false">
      <c r="A10" s="7" t="s">
        <v>331</v>
      </c>
      <c r="B10" s="16" t="s">
        <v>326</v>
      </c>
      <c r="C10" s="17" t="s">
        <v>332</v>
      </c>
      <c r="D10" s="16" t="s">
        <v>333</v>
      </c>
      <c r="E10" s="16" t="s">
        <v>334</v>
      </c>
      <c r="F10" s="7" t="s">
        <v>58</v>
      </c>
      <c r="G10" s="16" t="s">
        <v>335</v>
      </c>
      <c r="H10" s="18"/>
      <c r="I10" s="19" t="s">
        <v>60</v>
      </c>
    </row>
    <row r="11" customFormat="false" ht="23.85" hidden="false" customHeight="false" outlineLevel="0" collapsed="false">
      <c r="A11" s="7" t="s">
        <v>336</v>
      </c>
      <c r="B11" s="16" t="s">
        <v>326</v>
      </c>
      <c r="C11" s="17" t="s">
        <v>337</v>
      </c>
      <c r="D11" s="16" t="s">
        <v>338</v>
      </c>
      <c r="E11" s="16" t="s">
        <v>339</v>
      </c>
      <c r="F11" s="7" t="s">
        <v>58</v>
      </c>
      <c r="G11" s="16" t="s">
        <v>340</v>
      </c>
      <c r="H11" s="18"/>
      <c r="I11" s="19" t="s">
        <v>60</v>
      </c>
    </row>
    <row r="12" customFormat="false" ht="35.05" hidden="false" customHeight="false" outlineLevel="0" collapsed="false">
      <c r="A12" s="7" t="s">
        <v>341</v>
      </c>
      <c r="B12" s="16" t="s">
        <v>326</v>
      </c>
      <c r="C12" s="17" t="s">
        <v>342</v>
      </c>
      <c r="D12" s="16" t="s">
        <v>343</v>
      </c>
      <c r="E12" s="16" t="s">
        <v>344</v>
      </c>
      <c r="F12" s="7" t="s">
        <v>70</v>
      </c>
      <c r="G12" s="16" t="s">
        <v>345</v>
      </c>
      <c r="H12" s="18"/>
      <c r="I12" s="19" t="s">
        <v>60</v>
      </c>
    </row>
    <row r="13" customFormat="false" ht="35.05" hidden="false" customHeight="false" outlineLevel="0" collapsed="false">
      <c r="A13" s="7" t="s">
        <v>346</v>
      </c>
      <c r="B13" s="16" t="s">
        <v>326</v>
      </c>
      <c r="C13" s="17" t="s">
        <v>347</v>
      </c>
      <c r="D13" s="16" t="s">
        <v>348</v>
      </c>
      <c r="E13" s="16" t="s">
        <v>349</v>
      </c>
      <c r="F13" s="7" t="s">
        <v>70</v>
      </c>
      <c r="G13" s="16" t="s">
        <v>350</v>
      </c>
      <c r="H13" s="18"/>
      <c r="I13" s="19" t="s">
        <v>60</v>
      </c>
    </row>
    <row r="14" customFormat="false" ht="15" hidden="false" customHeight="false" outlineLevel="0" collapsed="false">
      <c r="A14" s="15" t="s">
        <v>351</v>
      </c>
      <c r="B14" s="15"/>
      <c r="C14" s="15"/>
      <c r="D14" s="15"/>
      <c r="E14" s="15"/>
      <c r="F14" s="15"/>
      <c r="G14" s="15"/>
      <c r="H14" s="15"/>
      <c r="I14" s="15"/>
    </row>
    <row r="15" customFormat="false" ht="35.05" hidden="false" customHeight="false" outlineLevel="0" collapsed="false">
      <c r="A15" s="7" t="s">
        <v>352</v>
      </c>
      <c r="B15" s="16" t="s">
        <v>353</v>
      </c>
      <c r="C15" s="17" t="s">
        <v>354</v>
      </c>
      <c r="D15" s="16" t="s">
        <v>355</v>
      </c>
      <c r="E15" s="16" t="s">
        <v>356</v>
      </c>
      <c r="F15" s="7" t="s">
        <v>58</v>
      </c>
      <c r="G15" s="16" t="s">
        <v>330</v>
      </c>
      <c r="H15" s="18"/>
      <c r="I15" s="19" t="s">
        <v>60</v>
      </c>
    </row>
    <row r="16" customFormat="false" ht="46.25" hidden="false" customHeight="false" outlineLevel="0" collapsed="false">
      <c r="A16" s="7" t="s">
        <v>357</v>
      </c>
      <c r="B16" s="16" t="s">
        <v>353</v>
      </c>
      <c r="C16" s="17" t="s">
        <v>358</v>
      </c>
      <c r="D16" s="16" t="s">
        <v>359</v>
      </c>
      <c r="E16" s="16" t="s">
        <v>360</v>
      </c>
      <c r="F16" s="7" t="s">
        <v>58</v>
      </c>
      <c r="G16" s="16" t="s">
        <v>361</v>
      </c>
      <c r="H16" s="18"/>
      <c r="I16" s="19" t="s">
        <v>60</v>
      </c>
    </row>
    <row r="17" customFormat="false" ht="23.85" hidden="false" customHeight="false" outlineLevel="0" collapsed="false">
      <c r="A17" s="7" t="s">
        <v>362</v>
      </c>
      <c r="B17" s="16" t="s">
        <v>353</v>
      </c>
      <c r="C17" s="17" t="s">
        <v>363</v>
      </c>
      <c r="D17" s="16" t="s">
        <v>364</v>
      </c>
      <c r="E17" s="16" t="s">
        <v>365</v>
      </c>
      <c r="F17" s="7" t="s">
        <v>70</v>
      </c>
      <c r="G17" s="16" t="s">
        <v>366</v>
      </c>
      <c r="H17" s="18"/>
      <c r="I17" s="19" t="s">
        <v>60</v>
      </c>
    </row>
    <row r="18" customFormat="false" ht="15" hidden="false" customHeight="false" outlineLevel="0" collapsed="false">
      <c r="A18" s="15" t="s">
        <v>367</v>
      </c>
      <c r="B18" s="15"/>
      <c r="C18" s="15"/>
      <c r="D18" s="15"/>
      <c r="E18" s="15"/>
      <c r="F18" s="15"/>
      <c r="G18" s="15"/>
      <c r="H18" s="15"/>
      <c r="I18" s="15"/>
    </row>
    <row r="19" customFormat="false" ht="23.85" hidden="false" customHeight="false" outlineLevel="0" collapsed="false">
      <c r="A19" s="7" t="s">
        <v>368</v>
      </c>
      <c r="B19" s="16" t="s">
        <v>369</v>
      </c>
      <c r="C19" s="17" t="s">
        <v>370</v>
      </c>
      <c r="D19" s="16" t="s">
        <v>371</v>
      </c>
      <c r="E19" s="16" t="s">
        <v>372</v>
      </c>
      <c r="F19" s="7" t="s">
        <v>58</v>
      </c>
      <c r="G19" s="16" t="s">
        <v>373</v>
      </c>
      <c r="H19" s="18"/>
      <c r="I19" s="19" t="s">
        <v>60</v>
      </c>
    </row>
    <row r="20" customFormat="false" ht="23.85" hidden="false" customHeight="false" outlineLevel="0" collapsed="false">
      <c r="A20" s="7" t="s">
        <v>374</v>
      </c>
      <c r="B20" s="16" t="s">
        <v>375</v>
      </c>
      <c r="C20" s="17" t="s">
        <v>376</v>
      </c>
      <c r="D20" s="16" t="s">
        <v>377</v>
      </c>
      <c r="E20" s="16" t="s">
        <v>378</v>
      </c>
      <c r="F20" s="7" t="s">
        <v>58</v>
      </c>
      <c r="G20" s="16" t="s">
        <v>379</v>
      </c>
      <c r="H20" s="18"/>
      <c r="I20" s="19" t="s">
        <v>60</v>
      </c>
    </row>
  </sheetData>
  <autoFilter ref="A4:I20"/>
  <mergeCells count="5">
    <mergeCell ref="A2:I2"/>
    <mergeCell ref="A5:I5"/>
    <mergeCell ref="A8:I8"/>
    <mergeCell ref="A14:I14"/>
    <mergeCell ref="A18:I18"/>
  </mergeCells>
  <conditionalFormatting sqref="F5:F20">
    <cfRule type="cellIs" priority="2" operator="equal" aboveAverage="0" equalAverage="0" bottom="0" percent="0" rank="0" text="" dxfId="13">
      <formula>"Must"</formula>
    </cfRule>
    <cfRule type="cellIs" priority="3" operator="equal" aboveAverage="0" equalAverage="0" bottom="0" percent="0" rank="0" text="" dxfId="14">
      <formula>"Should"</formula>
    </cfRule>
    <cfRule type="cellIs" priority="4" operator="equal" aboveAverage="0" equalAverage="0" bottom="0" percent="0" rank="0" text="" dxfId="15">
      <formula>"Nice"</formula>
    </cfRule>
  </conditionalFormatting>
  <conditionalFormatting sqref="I5:I20">
    <cfRule type="cellIs" priority="5" operator="equal" aboveAverage="0" equalAverage="0" bottom="0" percent="0" rank="0" text="" dxfId="0">
      <formula>"Done"</formula>
    </cfRule>
    <cfRule type="cellIs" priority="6" operator="equal" aboveAverage="0" equalAverage="0" bottom="0" percent="0" rank="0" text="" dxfId="1">
      <formula>"Blocked"</formula>
    </cfRule>
    <cfRule type="cellIs" priority="7" operator="equal" aboveAverage="0" equalAverage="0" bottom="0" percent="0" rank="0" text="" dxfId="16">
      <formula>"In progress"</formula>
    </cfRule>
  </conditionalFormatting>
  <dataValidations count="1">
    <dataValidation allowBlank="true" errorStyle="stop" operator="between" showDropDown="false" showErrorMessage="false" showInputMessage="false" sqref="I5:I20"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4"/>
    <col collapsed="false" customWidth="true" hidden="false" outlineLevel="0" max="5" min="4" style="0" width="52"/>
    <col collapsed="false" customWidth="true" hidden="false" outlineLevel="0" max="6" min="6" style="0" width="10"/>
    <col collapsed="false" customWidth="true" hidden="false" outlineLevel="0" max="7" min="7" style="0" width="3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3" t="s">
        <v>380</v>
      </c>
    </row>
    <row r="2" customFormat="false" ht="30" hidden="false" customHeight="true" outlineLevel="0" collapsed="false">
      <c r="A2" s="14" t="s">
        <v>381</v>
      </c>
      <c r="B2" s="14"/>
      <c r="C2" s="14"/>
      <c r="D2" s="14"/>
      <c r="E2" s="14"/>
      <c r="F2" s="14"/>
      <c r="G2" s="14"/>
      <c r="H2" s="14"/>
      <c r="I2" s="14"/>
    </row>
    <row r="4" customFormat="false" ht="15" hidden="false" customHeight="false" outlineLevel="0" collapsed="false">
      <c r="A4" s="5" t="s">
        <v>43</v>
      </c>
      <c r="B4" s="5" t="s">
        <v>44</v>
      </c>
      <c r="C4" s="5" t="s">
        <v>45</v>
      </c>
      <c r="D4" s="5" t="s">
        <v>46</v>
      </c>
      <c r="E4" s="5" t="s">
        <v>47</v>
      </c>
      <c r="F4" s="5" t="s">
        <v>48</v>
      </c>
      <c r="G4" s="5" t="s">
        <v>49</v>
      </c>
      <c r="H4" s="5" t="s">
        <v>50</v>
      </c>
      <c r="I4" s="5" t="s">
        <v>51</v>
      </c>
    </row>
    <row r="5" customFormat="false" ht="15" hidden="false" customHeight="false" outlineLevel="0" collapsed="false">
      <c r="A5" s="15" t="s">
        <v>382</v>
      </c>
      <c r="B5" s="15"/>
      <c r="C5" s="15"/>
      <c r="D5" s="15"/>
      <c r="E5" s="15"/>
      <c r="F5" s="15"/>
      <c r="G5" s="15"/>
      <c r="H5" s="15"/>
      <c r="I5" s="15"/>
    </row>
    <row r="6" customFormat="false" ht="23.85" hidden="false" customHeight="false" outlineLevel="0" collapsed="false">
      <c r="A6" s="7" t="s">
        <v>383</v>
      </c>
      <c r="B6" s="16" t="s">
        <v>384</v>
      </c>
      <c r="C6" s="17" t="s">
        <v>385</v>
      </c>
      <c r="D6" s="16" t="s">
        <v>386</v>
      </c>
      <c r="E6" s="16" t="s">
        <v>387</v>
      </c>
      <c r="F6" s="7" t="s">
        <v>58</v>
      </c>
      <c r="G6" s="16" t="s">
        <v>388</v>
      </c>
      <c r="H6" s="18"/>
      <c r="I6" s="19" t="s">
        <v>60</v>
      </c>
    </row>
    <row r="7" customFormat="false" ht="23.85" hidden="false" customHeight="false" outlineLevel="0" collapsed="false">
      <c r="A7" s="7" t="s">
        <v>389</v>
      </c>
      <c r="B7" s="16" t="s">
        <v>390</v>
      </c>
      <c r="C7" s="17" t="s">
        <v>391</v>
      </c>
      <c r="D7" s="16" t="s">
        <v>392</v>
      </c>
      <c r="E7" s="16" t="s">
        <v>393</v>
      </c>
      <c r="F7" s="7" t="s">
        <v>58</v>
      </c>
      <c r="G7" s="16" t="s">
        <v>394</v>
      </c>
      <c r="H7" s="18"/>
      <c r="I7" s="19" t="s">
        <v>60</v>
      </c>
    </row>
    <row r="8" customFormat="false" ht="35.05" hidden="false" customHeight="false" outlineLevel="0" collapsed="false">
      <c r="A8" s="7" t="s">
        <v>395</v>
      </c>
      <c r="B8" s="16" t="s">
        <v>390</v>
      </c>
      <c r="C8" s="17" t="s">
        <v>396</v>
      </c>
      <c r="D8" s="16" t="s">
        <v>397</v>
      </c>
      <c r="E8" s="16" t="s">
        <v>398</v>
      </c>
      <c r="F8" s="7" t="s">
        <v>70</v>
      </c>
      <c r="G8" s="16" t="s">
        <v>399</v>
      </c>
      <c r="H8" s="18"/>
      <c r="I8" s="19" t="s">
        <v>60</v>
      </c>
    </row>
    <row r="9" customFormat="false" ht="23.85" hidden="false" customHeight="false" outlineLevel="0" collapsed="false">
      <c r="A9" s="7" t="s">
        <v>400</v>
      </c>
      <c r="B9" s="16" t="s">
        <v>285</v>
      </c>
      <c r="C9" s="17" t="s">
        <v>401</v>
      </c>
      <c r="D9" s="16" t="s">
        <v>402</v>
      </c>
      <c r="E9" s="16" t="s">
        <v>403</v>
      </c>
      <c r="F9" s="7" t="s">
        <v>58</v>
      </c>
      <c r="G9" s="16" t="s">
        <v>404</v>
      </c>
      <c r="H9" s="18"/>
      <c r="I9" s="19" t="s">
        <v>60</v>
      </c>
    </row>
    <row r="10" customFormat="false" ht="15" hidden="false" customHeight="false" outlineLevel="0" collapsed="false">
      <c r="A10" s="15" t="s">
        <v>405</v>
      </c>
      <c r="B10" s="15"/>
      <c r="C10" s="15"/>
      <c r="D10" s="15"/>
      <c r="E10" s="15"/>
      <c r="F10" s="15"/>
      <c r="G10" s="15"/>
      <c r="H10" s="15"/>
      <c r="I10" s="15"/>
    </row>
    <row r="11" customFormat="false" ht="23.85" hidden="false" customHeight="false" outlineLevel="0" collapsed="false">
      <c r="A11" s="7" t="s">
        <v>406</v>
      </c>
      <c r="B11" s="16" t="s">
        <v>407</v>
      </c>
      <c r="C11" s="17" t="s">
        <v>408</v>
      </c>
      <c r="D11" s="16" t="s">
        <v>409</v>
      </c>
      <c r="E11" s="16" t="s">
        <v>410</v>
      </c>
      <c r="F11" s="7" t="s">
        <v>58</v>
      </c>
      <c r="G11" s="16" t="s">
        <v>411</v>
      </c>
      <c r="H11" s="18"/>
      <c r="I11" s="19" t="s">
        <v>60</v>
      </c>
    </row>
    <row r="12" customFormat="false" ht="23.85" hidden="false" customHeight="false" outlineLevel="0" collapsed="false">
      <c r="A12" s="7" t="s">
        <v>412</v>
      </c>
      <c r="B12" s="16" t="s">
        <v>407</v>
      </c>
      <c r="C12" s="17" t="s">
        <v>413</v>
      </c>
      <c r="D12" s="16" t="s">
        <v>414</v>
      </c>
      <c r="E12" s="16" t="s">
        <v>415</v>
      </c>
      <c r="F12" s="7" t="s">
        <v>58</v>
      </c>
      <c r="G12" s="16" t="s">
        <v>416</v>
      </c>
      <c r="H12" s="18"/>
      <c r="I12" s="19" t="s">
        <v>60</v>
      </c>
    </row>
    <row r="13" customFormat="false" ht="23.85" hidden="false" customHeight="false" outlineLevel="0" collapsed="false">
      <c r="A13" s="7" t="s">
        <v>417</v>
      </c>
      <c r="B13" s="16" t="s">
        <v>407</v>
      </c>
      <c r="C13" s="17" t="s">
        <v>418</v>
      </c>
      <c r="D13" s="16" t="s">
        <v>419</v>
      </c>
      <c r="E13" s="16" t="s">
        <v>420</v>
      </c>
      <c r="F13" s="7" t="s">
        <v>70</v>
      </c>
      <c r="G13" s="16" t="s">
        <v>421</v>
      </c>
      <c r="H13" s="18"/>
      <c r="I13" s="19" t="s">
        <v>60</v>
      </c>
    </row>
    <row r="14" customFormat="false" ht="23.85" hidden="false" customHeight="false" outlineLevel="0" collapsed="false">
      <c r="A14" s="7" t="s">
        <v>422</v>
      </c>
      <c r="B14" s="16" t="s">
        <v>407</v>
      </c>
      <c r="C14" s="17" t="s">
        <v>423</v>
      </c>
      <c r="D14" s="16" t="s">
        <v>424</v>
      </c>
      <c r="E14" s="16" t="s">
        <v>425</v>
      </c>
      <c r="F14" s="7" t="s">
        <v>140</v>
      </c>
      <c r="G14" s="16" t="s">
        <v>426</v>
      </c>
      <c r="H14" s="18"/>
      <c r="I14" s="19" t="s">
        <v>60</v>
      </c>
    </row>
    <row r="15" customFormat="false" ht="15" hidden="false" customHeight="false" outlineLevel="0" collapsed="false">
      <c r="A15" s="15" t="s">
        <v>427</v>
      </c>
      <c r="B15" s="15"/>
      <c r="C15" s="15"/>
      <c r="D15" s="15"/>
      <c r="E15" s="15"/>
      <c r="F15" s="15"/>
      <c r="G15" s="15"/>
      <c r="H15" s="15"/>
      <c r="I15" s="15"/>
    </row>
    <row r="16" customFormat="false" ht="35.05" hidden="false" customHeight="false" outlineLevel="0" collapsed="false">
      <c r="A16" s="7" t="s">
        <v>428</v>
      </c>
      <c r="B16" s="16" t="s">
        <v>429</v>
      </c>
      <c r="C16" s="17" t="s">
        <v>430</v>
      </c>
      <c r="D16" s="16" t="s">
        <v>431</v>
      </c>
      <c r="E16" s="16" t="s">
        <v>432</v>
      </c>
      <c r="F16" s="7" t="s">
        <v>70</v>
      </c>
      <c r="G16" s="16" t="s">
        <v>433</v>
      </c>
      <c r="H16" s="18"/>
      <c r="I16" s="19" t="s">
        <v>60</v>
      </c>
    </row>
    <row r="17" customFormat="false" ht="15" hidden="false" customHeight="false" outlineLevel="0" collapsed="false">
      <c r="A17" s="15" t="s">
        <v>434</v>
      </c>
      <c r="B17" s="15"/>
      <c r="C17" s="15"/>
      <c r="D17" s="15"/>
      <c r="E17" s="15"/>
      <c r="F17" s="15"/>
      <c r="G17" s="15"/>
      <c r="H17" s="15"/>
      <c r="I17" s="15"/>
    </row>
    <row r="18" customFormat="false" ht="35.05" hidden="false" customHeight="false" outlineLevel="0" collapsed="false">
      <c r="A18" s="7" t="s">
        <v>435</v>
      </c>
      <c r="B18" s="16" t="s">
        <v>436</v>
      </c>
      <c r="C18" s="17" t="s">
        <v>437</v>
      </c>
      <c r="D18" s="16" t="s">
        <v>438</v>
      </c>
      <c r="E18" s="16" t="s">
        <v>439</v>
      </c>
      <c r="F18" s="7" t="s">
        <v>58</v>
      </c>
      <c r="G18" s="16" t="s">
        <v>440</v>
      </c>
      <c r="H18" s="18"/>
      <c r="I18" s="19" t="s">
        <v>60</v>
      </c>
    </row>
    <row r="19" customFormat="false" ht="23.85" hidden="false" customHeight="false" outlineLevel="0" collapsed="false">
      <c r="A19" s="7" t="s">
        <v>441</v>
      </c>
      <c r="B19" s="16" t="s">
        <v>436</v>
      </c>
      <c r="C19" s="17" t="s">
        <v>442</v>
      </c>
      <c r="D19" s="16" t="s">
        <v>443</v>
      </c>
      <c r="E19" s="16" t="s">
        <v>444</v>
      </c>
      <c r="F19" s="7" t="s">
        <v>70</v>
      </c>
      <c r="G19" s="16" t="s">
        <v>445</v>
      </c>
      <c r="H19" s="18"/>
      <c r="I19" s="19" t="s">
        <v>60</v>
      </c>
    </row>
    <row r="20" customFormat="false" ht="23.85" hidden="false" customHeight="false" outlineLevel="0" collapsed="false">
      <c r="A20" s="7" t="s">
        <v>446</v>
      </c>
      <c r="B20" s="16" t="s">
        <v>80</v>
      </c>
      <c r="C20" s="17" t="s">
        <v>447</v>
      </c>
      <c r="D20" s="16" t="s">
        <v>448</v>
      </c>
      <c r="E20" s="16" t="s">
        <v>449</v>
      </c>
      <c r="F20" s="7" t="s">
        <v>70</v>
      </c>
      <c r="G20" s="16" t="s">
        <v>450</v>
      </c>
      <c r="H20" s="18"/>
      <c r="I20" s="19" t="s">
        <v>60</v>
      </c>
    </row>
    <row r="21" customFormat="false" ht="23.85" hidden="false" customHeight="false" outlineLevel="0" collapsed="false">
      <c r="A21" s="7" t="s">
        <v>451</v>
      </c>
      <c r="B21" s="16" t="s">
        <v>452</v>
      </c>
      <c r="C21" s="17" t="s">
        <v>453</v>
      </c>
      <c r="D21" s="16" t="s">
        <v>454</v>
      </c>
      <c r="E21" s="16" t="s">
        <v>455</v>
      </c>
      <c r="F21" s="7" t="s">
        <v>58</v>
      </c>
      <c r="G21" s="16" t="s">
        <v>456</v>
      </c>
      <c r="H21" s="18"/>
      <c r="I21" s="19" t="s">
        <v>60</v>
      </c>
    </row>
  </sheetData>
  <autoFilter ref="A4:I21"/>
  <mergeCells count="5">
    <mergeCell ref="A2:I2"/>
    <mergeCell ref="A5:I5"/>
    <mergeCell ref="A10:I10"/>
    <mergeCell ref="A15:I15"/>
    <mergeCell ref="A17:I17"/>
  </mergeCells>
  <conditionalFormatting sqref="F5:F21">
    <cfRule type="cellIs" priority="2" operator="equal" aboveAverage="0" equalAverage="0" bottom="0" percent="0" rank="0" text="" dxfId="13">
      <formula>"Must"</formula>
    </cfRule>
    <cfRule type="cellIs" priority="3" operator="equal" aboveAverage="0" equalAverage="0" bottom="0" percent="0" rank="0" text="" dxfId="14">
      <formula>"Should"</formula>
    </cfRule>
    <cfRule type="cellIs" priority="4" operator="equal" aboveAverage="0" equalAverage="0" bottom="0" percent="0" rank="0" text="" dxfId="15">
      <formula>"Nice"</formula>
    </cfRule>
  </conditionalFormatting>
  <conditionalFormatting sqref="I5:I21">
    <cfRule type="cellIs" priority="5" operator="equal" aboveAverage="0" equalAverage="0" bottom="0" percent="0" rank="0" text="" dxfId="0">
      <formula>"Done"</formula>
    </cfRule>
    <cfRule type="cellIs" priority="6" operator="equal" aboveAverage="0" equalAverage="0" bottom="0" percent="0" rank="0" text="" dxfId="1">
      <formula>"Blocked"</formula>
    </cfRule>
    <cfRule type="cellIs" priority="7" operator="equal" aboveAverage="0" equalAverage="0" bottom="0" percent="0" rank="0" text="" dxfId="16">
      <formula>"In progress"</formula>
    </cfRule>
  </conditionalFormatting>
  <dataValidations count="1">
    <dataValidation allowBlank="true" errorStyle="stop" operator="between" showDropDown="false" showErrorMessage="false" showInputMessage="false" sqref="I5:I21"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48"/>
    <col collapsed="false" customWidth="true" hidden="false" outlineLevel="0" max="4" min="4" style="0" width="50"/>
  </cols>
  <sheetData>
    <row r="1" customFormat="false" ht="17.35" hidden="false" customHeight="false" outlineLevel="0" collapsed="false">
      <c r="A1" s="13" t="s">
        <v>457</v>
      </c>
    </row>
    <row r="2" customFormat="false" ht="15" hidden="false" customHeight="false" outlineLevel="0" collapsed="false">
      <c r="A2" s="20" t="s">
        <v>458</v>
      </c>
    </row>
    <row r="4" customFormat="false" ht="15" hidden="false" customHeight="false" outlineLevel="0" collapsed="false">
      <c r="A4" s="5" t="s">
        <v>459</v>
      </c>
      <c r="B4" s="5" t="s">
        <v>460</v>
      </c>
      <c r="C4" s="5" t="s">
        <v>461</v>
      </c>
      <c r="D4" s="5" t="s">
        <v>462</v>
      </c>
    </row>
    <row r="5" customFormat="false" ht="23.85" hidden="false" customHeight="false" outlineLevel="0" collapsed="false">
      <c r="A5" s="17" t="s">
        <v>463</v>
      </c>
      <c r="B5" s="16" t="s">
        <v>464</v>
      </c>
      <c r="C5" s="16" t="s">
        <v>465</v>
      </c>
      <c r="D5" s="16" t="s">
        <v>466</v>
      </c>
    </row>
    <row r="6" customFormat="false" ht="23.85" hidden="false" customHeight="false" outlineLevel="0" collapsed="false">
      <c r="A6" s="17" t="s">
        <v>467</v>
      </c>
      <c r="B6" s="16" t="s">
        <v>468</v>
      </c>
      <c r="C6" s="16" t="s">
        <v>469</v>
      </c>
      <c r="D6" s="16" t="s">
        <v>470</v>
      </c>
    </row>
    <row r="7" customFormat="false" ht="35.05" hidden="false" customHeight="false" outlineLevel="0" collapsed="false">
      <c r="A7" s="17" t="s">
        <v>471</v>
      </c>
      <c r="B7" s="16" t="s">
        <v>472</v>
      </c>
      <c r="C7" s="16" t="s">
        <v>473</v>
      </c>
      <c r="D7" s="16" t="s">
        <v>474</v>
      </c>
    </row>
    <row r="8" customFormat="false" ht="23.85" hidden="false" customHeight="false" outlineLevel="0" collapsed="false">
      <c r="A8" s="17" t="s">
        <v>475</v>
      </c>
      <c r="B8" s="16" t="s">
        <v>476</v>
      </c>
      <c r="C8" s="16" t="s">
        <v>477</v>
      </c>
      <c r="D8" s="16" t="s">
        <v>478</v>
      </c>
    </row>
    <row r="9" customFormat="false" ht="23.85" hidden="false" customHeight="false" outlineLevel="0" collapsed="false">
      <c r="A9" s="17" t="s">
        <v>479</v>
      </c>
      <c r="B9" s="16" t="s">
        <v>480</v>
      </c>
      <c r="C9" s="16" t="s">
        <v>481</v>
      </c>
      <c r="D9" s="16" t="s">
        <v>482</v>
      </c>
    </row>
    <row r="10" customFormat="false" ht="15" hidden="false" customHeight="false" outlineLevel="0" collapsed="false">
      <c r="A10" s="17" t="s">
        <v>483</v>
      </c>
      <c r="B10" s="16" t="s">
        <v>484</v>
      </c>
      <c r="C10" s="16" t="s">
        <v>485</v>
      </c>
      <c r="D10" s="16" t="s">
        <v>486</v>
      </c>
    </row>
    <row r="11" customFormat="false" ht="23.85" hidden="false" customHeight="false" outlineLevel="0" collapsed="false">
      <c r="A11" s="17" t="s">
        <v>487</v>
      </c>
      <c r="B11" s="16" t="s">
        <v>488</v>
      </c>
      <c r="C11" s="16" t="s">
        <v>489</v>
      </c>
      <c r="D11" s="16" t="s">
        <v>490</v>
      </c>
    </row>
    <row r="12" customFormat="false" ht="23.85" hidden="false" customHeight="false" outlineLevel="0" collapsed="false">
      <c r="A12" s="17" t="s">
        <v>491</v>
      </c>
      <c r="B12" s="16" t="s">
        <v>492</v>
      </c>
      <c r="C12" s="16" t="s">
        <v>493</v>
      </c>
      <c r="D12" s="16" t="s">
        <v>494</v>
      </c>
    </row>
    <row r="13" customFormat="false" ht="23.85" hidden="false" customHeight="false" outlineLevel="0" collapsed="false">
      <c r="A13" s="17" t="s">
        <v>495</v>
      </c>
      <c r="B13" s="16" t="s">
        <v>496</v>
      </c>
      <c r="C13" s="16" t="s">
        <v>497</v>
      </c>
      <c r="D13" s="16" t="s">
        <v>498</v>
      </c>
    </row>
    <row r="14" customFormat="false" ht="23.85" hidden="false" customHeight="false" outlineLevel="0" collapsed="false">
      <c r="A14" s="17" t="s">
        <v>499</v>
      </c>
      <c r="B14" s="16" t="s">
        <v>500</v>
      </c>
      <c r="C14" s="16" t="s">
        <v>501</v>
      </c>
      <c r="D14" s="16" t="s">
        <v>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T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2"/>
    <col collapsed="false" customWidth="true" hidden="false" outlineLevel="0" max="7" min="5" style="0" width="9"/>
    <col collapsed="false" customWidth="true" hidden="false" outlineLevel="0" max="11" min="8" style="0" width="10"/>
    <col collapsed="false" customWidth="true" hidden="false" outlineLevel="0" max="12" min="12" style="0" width="8"/>
    <col collapsed="false" customWidth="true" hidden="false" outlineLevel="0" max="13" min="13" style="0" width="11"/>
    <col collapsed="false" customWidth="true" hidden="false" outlineLevel="0" max="15" min="14" style="0" width="10"/>
    <col collapsed="false" customWidth="true" hidden="false" outlineLevel="0" max="16" min="16" style="0" width="12"/>
    <col collapsed="false" customWidth="true" hidden="false" outlineLevel="0" max="19" min="17" style="0" width="10"/>
    <col collapsed="false" customWidth="true" hidden="false" outlineLevel="0" max="20" min="20" style="0" width="12"/>
  </cols>
  <sheetData>
    <row r="1" customFormat="false" ht="17.35" hidden="false" customHeight="false" outlineLevel="0" collapsed="false">
      <c r="A1" s="13" t="s">
        <v>503</v>
      </c>
    </row>
    <row r="2" customFormat="false" ht="15" hidden="false" customHeight="false" outlineLevel="0" collapsed="false">
      <c r="A2" s="20" t="s">
        <v>504</v>
      </c>
    </row>
    <row r="4" customFormat="false" ht="15" hidden="false" customHeight="false" outlineLevel="0" collapsed="false">
      <c r="A4" s="21" t="s">
        <v>505</v>
      </c>
    </row>
    <row r="5" customFormat="false" ht="15" hidden="false" customHeight="false" outlineLevel="0" collapsed="false">
      <c r="A5" s="4" t="s">
        <v>506</v>
      </c>
      <c r="B5" s="4"/>
      <c r="C5" s="4"/>
      <c r="D5" s="22" t="n">
        <v>60</v>
      </c>
      <c r="E5" s="23" t="s">
        <v>507</v>
      </c>
    </row>
    <row r="6" customFormat="false" ht="15" hidden="false" customHeight="false" outlineLevel="0" collapsed="false">
      <c r="A6" s="4" t="s">
        <v>508</v>
      </c>
      <c r="B6" s="4"/>
      <c r="C6" s="4"/>
      <c r="D6" s="24" t="n">
        <v>0.3</v>
      </c>
    </row>
    <row r="7" customFormat="false" ht="15" hidden="false" customHeight="false" outlineLevel="0" collapsed="false">
      <c r="A7" s="4" t="s">
        <v>509</v>
      </c>
      <c r="B7" s="4"/>
      <c r="C7" s="4"/>
      <c r="D7" s="24" t="n">
        <v>0.3</v>
      </c>
    </row>
    <row r="8" customFormat="false" ht="15" hidden="false" customHeight="false" outlineLevel="0" collapsed="false">
      <c r="A8" s="4" t="s">
        <v>510</v>
      </c>
      <c r="B8" s="4"/>
      <c r="C8" s="4"/>
      <c r="D8" s="24" t="n">
        <v>0.12</v>
      </c>
    </row>
    <row r="10" customFormat="false" ht="15" hidden="false" customHeight="false" outlineLevel="0" collapsed="false">
      <c r="A10" s="25" t="s">
        <v>511</v>
      </c>
      <c r="L10" s="26" t="s">
        <v>512</v>
      </c>
    </row>
    <row r="11" customFormat="false" ht="42" hidden="false" customHeight="true" outlineLevel="0" collapsed="false">
      <c r="A11" s="27" t="s">
        <v>513</v>
      </c>
      <c r="B11" s="27" t="s">
        <v>514</v>
      </c>
      <c r="C11" s="27" t="s">
        <v>515</v>
      </c>
      <c r="D11" s="27" t="s">
        <v>516</v>
      </c>
      <c r="E11" s="27" t="s">
        <v>517</v>
      </c>
      <c r="F11" s="27" t="s">
        <v>518</v>
      </c>
      <c r="G11" s="27" t="s">
        <v>519</v>
      </c>
      <c r="H11" s="27" t="s">
        <v>520</v>
      </c>
      <c r="I11" s="27" t="s">
        <v>521</v>
      </c>
      <c r="J11" s="27" t="s">
        <v>522</v>
      </c>
      <c r="K11" s="27" t="s">
        <v>523</v>
      </c>
      <c r="L11" s="28" t="s">
        <v>524</v>
      </c>
      <c r="M11" s="28" t="s">
        <v>525</v>
      </c>
      <c r="N11" s="28" t="s">
        <v>526</v>
      </c>
      <c r="O11" s="28" t="s">
        <v>527</v>
      </c>
      <c r="P11" s="28" t="s">
        <v>528</v>
      </c>
      <c r="Q11" s="28" t="s">
        <v>529</v>
      </c>
      <c r="R11" s="28" t="s">
        <v>530</v>
      </c>
      <c r="S11" s="28" t="s">
        <v>531</v>
      </c>
      <c r="T11" s="28" t="s">
        <v>532</v>
      </c>
    </row>
    <row r="12" customFormat="false" ht="15" hidden="false" customHeight="false" outlineLevel="0" collapsed="false">
      <c r="A12" s="29" t="n">
        <v>46328</v>
      </c>
      <c r="B12" s="30" t="s">
        <v>326</v>
      </c>
      <c r="C12" s="31" t="n">
        <v>10500</v>
      </c>
      <c r="D12" s="32" t="n">
        <v>210000</v>
      </c>
      <c r="E12" s="32" t="n">
        <v>3150</v>
      </c>
      <c r="F12" s="32" t="n">
        <v>630</v>
      </c>
      <c r="G12" s="32" t="n">
        <v>410</v>
      </c>
      <c r="H12" s="32" t="n">
        <v>180</v>
      </c>
      <c r="I12" s="32" t="n">
        <v>95</v>
      </c>
      <c r="J12" s="32" t="n">
        <v>40</v>
      </c>
      <c r="K12" s="32" t="n">
        <v>6</v>
      </c>
      <c r="L12" s="33" t="n">
        <f aca="false">IF(D12&gt;0,E12/D12,"")</f>
        <v>0.015</v>
      </c>
      <c r="M12" s="34" t="n">
        <f aca="false">IF(E12&gt;0,F12/E12,"")</f>
        <v>0.2</v>
      </c>
      <c r="N12" s="35" t="n">
        <f aca="false">IF(F12&gt;0,C12/F12,"")</f>
        <v>16.6666666666667</v>
      </c>
      <c r="O12" s="35" t="n">
        <f aca="false">IF(G12&gt;0,C12/G12,"")</f>
        <v>25.609756097561</v>
      </c>
      <c r="P12" s="35" t="n">
        <f aca="false">IF(H12&gt;0,C12/H12,"")</f>
        <v>58.3333333333333</v>
      </c>
      <c r="Q12" s="34" t="n">
        <f aca="false">IF(F12&gt;0,H12/F12,"")</f>
        <v>0.285714285714286</v>
      </c>
      <c r="R12" s="34" t="n">
        <f aca="false">IF(F12&gt;0,I12/F12,"")</f>
        <v>0.150793650793651</v>
      </c>
      <c r="S12" s="34" t="n">
        <f aca="false">IF(F12&gt;0,J12/F12,"")</f>
        <v>0.0634920634920635</v>
      </c>
      <c r="T12" s="36" t="str">
        <f aca="false">IF(P12="","",IF(P12&lt;=$D$5,"On target","Too expensive"))</f>
        <v>On target</v>
      </c>
    </row>
    <row r="13" customFormat="false" ht="15" hidden="false" customHeight="false" outlineLevel="0" collapsed="false">
      <c r="A13" s="29"/>
      <c r="B13" s="30"/>
      <c r="C13" s="31"/>
      <c r="D13" s="32"/>
      <c r="E13" s="32"/>
      <c r="F13" s="32"/>
      <c r="G13" s="32"/>
      <c r="H13" s="32"/>
      <c r="I13" s="32"/>
      <c r="J13" s="32"/>
      <c r="K13" s="32"/>
      <c r="L13" s="33" t="str">
        <f aca="false">IF(D13&gt;0,E13/D13,"")</f>
        <v/>
      </c>
      <c r="M13" s="34" t="str">
        <f aca="false">IF(E13&gt;0,F13/E13,"")</f>
        <v/>
      </c>
      <c r="N13" s="35" t="str">
        <f aca="false">IF(F13&gt;0,C13/F13,"")</f>
        <v/>
      </c>
      <c r="O13" s="35" t="str">
        <f aca="false">IF(G13&gt;0,C13/G13,"")</f>
        <v/>
      </c>
      <c r="P13" s="35" t="str">
        <f aca="false">IF(H13&gt;0,C13/H13,"")</f>
        <v/>
      </c>
      <c r="Q13" s="34" t="str">
        <f aca="false">IF(F13&gt;0,H13/F13,"")</f>
        <v/>
      </c>
      <c r="R13" s="34" t="str">
        <f aca="false">IF(F13&gt;0,I13/F13,"")</f>
        <v/>
      </c>
      <c r="S13" s="34" t="str">
        <f aca="false">IF(F13&gt;0,J13/F13,"")</f>
        <v/>
      </c>
      <c r="T13" s="36" t="str">
        <f aca="false">IF(P13="","",IF(P13&lt;=$D$5,"On target","Too expensive"))</f>
        <v/>
      </c>
    </row>
    <row r="14" customFormat="false" ht="15" hidden="false" customHeight="false" outlineLevel="0" collapsed="false">
      <c r="A14" s="29"/>
      <c r="B14" s="30"/>
      <c r="C14" s="31"/>
      <c r="D14" s="32"/>
      <c r="E14" s="32"/>
      <c r="F14" s="32"/>
      <c r="G14" s="32"/>
      <c r="H14" s="32"/>
      <c r="I14" s="32"/>
      <c r="J14" s="32"/>
      <c r="K14" s="32"/>
      <c r="L14" s="33" t="str">
        <f aca="false">IF(D14&gt;0,E14/D14,"")</f>
        <v/>
      </c>
      <c r="M14" s="34" t="str">
        <f aca="false">IF(E14&gt;0,F14/E14,"")</f>
        <v/>
      </c>
      <c r="N14" s="35" t="str">
        <f aca="false">IF(F14&gt;0,C14/F14,"")</f>
        <v/>
      </c>
      <c r="O14" s="35" t="str">
        <f aca="false">IF(G14&gt;0,C14/G14,"")</f>
        <v/>
      </c>
      <c r="P14" s="35" t="str">
        <f aca="false">IF(H14&gt;0,C14/H14,"")</f>
        <v/>
      </c>
      <c r="Q14" s="34" t="str">
        <f aca="false">IF(F14&gt;0,H14/F14,"")</f>
        <v/>
      </c>
      <c r="R14" s="34" t="str">
        <f aca="false">IF(F14&gt;0,I14/F14,"")</f>
        <v/>
      </c>
      <c r="S14" s="34" t="str">
        <f aca="false">IF(F14&gt;0,J14/F14,"")</f>
        <v/>
      </c>
      <c r="T14" s="36" t="str">
        <f aca="false">IF(P14="","",IF(P14&lt;=$D$5,"On target","Too expensive"))</f>
        <v/>
      </c>
    </row>
    <row r="15" customFormat="false" ht="15" hidden="false" customHeight="false" outlineLevel="0" collapsed="false">
      <c r="A15" s="29"/>
      <c r="B15" s="30"/>
      <c r="C15" s="31"/>
      <c r="D15" s="32"/>
      <c r="E15" s="32"/>
      <c r="F15" s="32"/>
      <c r="G15" s="32"/>
      <c r="H15" s="32"/>
      <c r="I15" s="32"/>
      <c r="J15" s="32"/>
      <c r="K15" s="32"/>
      <c r="L15" s="33" t="str">
        <f aca="false">IF(D15&gt;0,E15/D15,"")</f>
        <v/>
      </c>
      <c r="M15" s="34" t="str">
        <f aca="false">IF(E15&gt;0,F15/E15,"")</f>
        <v/>
      </c>
      <c r="N15" s="35" t="str">
        <f aca="false">IF(F15&gt;0,C15/F15,"")</f>
        <v/>
      </c>
      <c r="O15" s="35" t="str">
        <f aca="false">IF(G15&gt;0,C15/G15,"")</f>
        <v/>
      </c>
      <c r="P15" s="35" t="str">
        <f aca="false">IF(H15&gt;0,C15/H15,"")</f>
        <v/>
      </c>
      <c r="Q15" s="34" t="str">
        <f aca="false">IF(F15&gt;0,H15/F15,"")</f>
        <v/>
      </c>
      <c r="R15" s="34" t="str">
        <f aca="false">IF(F15&gt;0,I15/F15,"")</f>
        <v/>
      </c>
      <c r="S15" s="34" t="str">
        <f aca="false">IF(F15&gt;0,J15/F15,"")</f>
        <v/>
      </c>
      <c r="T15" s="36" t="str">
        <f aca="false">IF(P15="","",IF(P15&lt;=$D$5,"On target","Too expensive"))</f>
        <v/>
      </c>
    </row>
    <row r="16" customFormat="false" ht="15" hidden="false" customHeight="false" outlineLevel="0" collapsed="false">
      <c r="A16" s="29"/>
      <c r="B16" s="30"/>
      <c r="C16" s="31"/>
      <c r="D16" s="32"/>
      <c r="E16" s="32"/>
      <c r="F16" s="32"/>
      <c r="G16" s="32"/>
      <c r="H16" s="32"/>
      <c r="I16" s="32"/>
      <c r="J16" s="32"/>
      <c r="K16" s="32"/>
      <c r="L16" s="33" t="str">
        <f aca="false">IF(D16&gt;0,E16/D16,"")</f>
        <v/>
      </c>
      <c r="M16" s="34" t="str">
        <f aca="false">IF(E16&gt;0,F16/E16,"")</f>
        <v/>
      </c>
      <c r="N16" s="35" t="str">
        <f aca="false">IF(F16&gt;0,C16/F16,"")</f>
        <v/>
      </c>
      <c r="O16" s="35" t="str">
        <f aca="false">IF(G16&gt;0,C16/G16,"")</f>
        <v/>
      </c>
      <c r="P16" s="35" t="str">
        <f aca="false">IF(H16&gt;0,C16/H16,"")</f>
        <v/>
      </c>
      <c r="Q16" s="34" t="str">
        <f aca="false">IF(F16&gt;0,H16/F16,"")</f>
        <v/>
      </c>
      <c r="R16" s="34" t="str">
        <f aca="false">IF(F16&gt;0,I16/F16,"")</f>
        <v/>
      </c>
      <c r="S16" s="34" t="str">
        <f aca="false">IF(F16&gt;0,J16/F16,"")</f>
        <v/>
      </c>
      <c r="T16" s="36" t="str">
        <f aca="false">IF(P16="","",IF(P16&lt;=$D$5,"On target","Too expensive"))</f>
        <v/>
      </c>
    </row>
    <row r="17" customFormat="false" ht="15" hidden="false" customHeight="false" outlineLevel="0" collapsed="false">
      <c r="A17" s="29"/>
      <c r="B17" s="30"/>
      <c r="C17" s="31"/>
      <c r="D17" s="32"/>
      <c r="E17" s="32"/>
      <c r="F17" s="32"/>
      <c r="G17" s="32"/>
      <c r="H17" s="32"/>
      <c r="I17" s="32"/>
      <c r="J17" s="32"/>
      <c r="K17" s="32"/>
      <c r="L17" s="33" t="str">
        <f aca="false">IF(D17&gt;0,E17/D17,"")</f>
        <v/>
      </c>
      <c r="M17" s="34" t="str">
        <f aca="false">IF(E17&gt;0,F17/E17,"")</f>
        <v/>
      </c>
      <c r="N17" s="35" t="str">
        <f aca="false">IF(F17&gt;0,C17/F17,"")</f>
        <v/>
      </c>
      <c r="O17" s="35" t="str">
        <f aca="false">IF(G17&gt;0,C17/G17,"")</f>
        <v/>
      </c>
      <c r="P17" s="35" t="str">
        <f aca="false">IF(H17&gt;0,C17/H17,"")</f>
        <v/>
      </c>
      <c r="Q17" s="34" t="str">
        <f aca="false">IF(F17&gt;0,H17/F17,"")</f>
        <v/>
      </c>
      <c r="R17" s="34" t="str">
        <f aca="false">IF(F17&gt;0,I17/F17,"")</f>
        <v/>
      </c>
      <c r="S17" s="34" t="str">
        <f aca="false">IF(F17&gt;0,J17/F17,"")</f>
        <v/>
      </c>
      <c r="T17" s="36" t="str">
        <f aca="false">IF(P17="","",IF(P17&lt;=$D$5,"On target","Too expensive"))</f>
        <v/>
      </c>
    </row>
    <row r="18" customFormat="false" ht="15" hidden="false" customHeight="false" outlineLevel="0" collapsed="false">
      <c r="A18" s="29"/>
      <c r="B18" s="30"/>
      <c r="C18" s="31"/>
      <c r="D18" s="32"/>
      <c r="E18" s="32"/>
      <c r="F18" s="32"/>
      <c r="G18" s="32"/>
      <c r="H18" s="32"/>
      <c r="I18" s="32"/>
      <c r="J18" s="32"/>
      <c r="K18" s="32"/>
      <c r="L18" s="33" t="str">
        <f aca="false">IF(D18&gt;0,E18/D18,"")</f>
        <v/>
      </c>
      <c r="M18" s="34" t="str">
        <f aca="false">IF(E18&gt;0,F18/E18,"")</f>
        <v/>
      </c>
      <c r="N18" s="35" t="str">
        <f aca="false">IF(F18&gt;0,C18/F18,"")</f>
        <v/>
      </c>
      <c r="O18" s="35" t="str">
        <f aca="false">IF(G18&gt;0,C18/G18,"")</f>
        <v/>
      </c>
      <c r="P18" s="35" t="str">
        <f aca="false">IF(H18&gt;0,C18/H18,"")</f>
        <v/>
      </c>
      <c r="Q18" s="34" t="str">
        <f aca="false">IF(F18&gt;0,H18/F18,"")</f>
        <v/>
      </c>
      <c r="R18" s="34" t="str">
        <f aca="false">IF(F18&gt;0,I18/F18,"")</f>
        <v/>
      </c>
      <c r="S18" s="34" t="str">
        <f aca="false">IF(F18&gt;0,J18/F18,"")</f>
        <v/>
      </c>
      <c r="T18" s="36" t="str">
        <f aca="false">IF(P18="","",IF(P18&lt;=$D$5,"On target","Too expensive"))</f>
        <v/>
      </c>
    </row>
    <row r="19" customFormat="false" ht="15" hidden="false" customHeight="false" outlineLevel="0" collapsed="false">
      <c r="A19" s="29"/>
      <c r="B19" s="30"/>
      <c r="C19" s="31"/>
      <c r="D19" s="32"/>
      <c r="E19" s="32"/>
      <c r="F19" s="32"/>
      <c r="G19" s="32"/>
      <c r="H19" s="32"/>
      <c r="I19" s="32"/>
      <c r="J19" s="32"/>
      <c r="K19" s="32"/>
      <c r="L19" s="33" t="str">
        <f aca="false">IF(D19&gt;0,E19/D19,"")</f>
        <v/>
      </c>
      <c r="M19" s="34" t="str">
        <f aca="false">IF(E19&gt;0,F19/E19,"")</f>
        <v/>
      </c>
      <c r="N19" s="35" t="str">
        <f aca="false">IF(F19&gt;0,C19/F19,"")</f>
        <v/>
      </c>
      <c r="O19" s="35" t="str">
        <f aca="false">IF(G19&gt;0,C19/G19,"")</f>
        <v/>
      </c>
      <c r="P19" s="35" t="str">
        <f aca="false">IF(H19&gt;0,C19/H19,"")</f>
        <v/>
      </c>
      <c r="Q19" s="34" t="str">
        <f aca="false">IF(F19&gt;0,H19/F19,"")</f>
        <v/>
      </c>
      <c r="R19" s="34" t="str">
        <f aca="false">IF(F19&gt;0,I19/F19,"")</f>
        <v/>
      </c>
      <c r="S19" s="34" t="str">
        <f aca="false">IF(F19&gt;0,J19/F19,"")</f>
        <v/>
      </c>
      <c r="T19" s="36" t="str">
        <f aca="false">IF(P19="","",IF(P19&lt;=$D$5,"On target","Too expensive"))</f>
        <v/>
      </c>
    </row>
    <row r="20" customFormat="false" ht="15" hidden="false" customHeight="false" outlineLevel="0" collapsed="false">
      <c r="A20" s="29"/>
      <c r="B20" s="30"/>
      <c r="C20" s="31"/>
      <c r="D20" s="32"/>
      <c r="E20" s="32"/>
      <c r="F20" s="32"/>
      <c r="G20" s="32"/>
      <c r="H20" s="32"/>
      <c r="I20" s="32"/>
      <c r="J20" s="32"/>
      <c r="K20" s="32"/>
      <c r="L20" s="33" t="str">
        <f aca="false">IF(D20&gt;0,E20/D20,"")</f>
        <v/>
      </c>
      <c r="M20" s="34" t="str">
        <f aca="false">IF(E20&gt;0,F20/E20,"")</f>
        <v/>
      </c>
      <c r="N20" s="35" t="str">
        <f aca="false">IF(F20&gt;0,C20/F20,"")</f>
        <v/>
      </c>
      <c r="O20" s="35" t="str">
        <f aca="false">IF(G20&gt;0,C20/G20,"")</f>
        <v/>
      </c>
      <c r="P20" s="35" t="str">
        <f aca="false">IF(H20&gt;0,C20/H20,"")</f>
        <v/>
      </c>
      <c r="Q20" s="34" t="str">
        <f aca="false">IF(F20&gt;0,H20/F20,"")</f>
        <v/>
      </c>
      <c r="R20" s="34" t="str">
        <f aca="false">IF(F20&gt;0,I20/F20,"")</f>
        <v/>
      </c>
      <c r="S20" s="34" t="str">
        <f aca="false">IF(F20&gt;0,J20/F20,"")</f>
        <v/>
      </c>
      <c r="T20" s="36" t="str">
        <f aca="false">IF(P20="","",IF(P20&lt;=$D$5,"On target","Too expensive"))</f>
        <v/>
      </c>
    </row>
    <row r="21" customFormat="false" ht="15" hidden="false" customHeight="false" outlineLevel="0" collapsed="false">
      <c r="A21" s="29"/>
      <c r="B21" s="30"/>
      <c r="C21" s="31"/>
      <c r="D21" s="32"/>
      <c r="E21" s="32"/>
      <c r="F21" s="32"/>
      <c r="G21" s="32"/>
      <c r="H21" s="32"/>
      <c r="I21" s="32"/>
      <c r="J21" s="32"/>
      <c r="K21" s="32"/>
      <c r="L21" s="33" t="str">
        <f aca="false">IF(D21&gt;0,E21/D21,"")</f>
        <v/>
      </c>
      <c r="M21" s="34" t="str">
        <f aca="false">IF(E21&gt;0,F21/E21,"")</f>
        <v/>
      </c>
      <c r="N21" s="35" t="str">
        <f aca="false">IF(F21&gt;0,C21/F21,"")</f>
        <v/>
      </c>
      <c r="O21" s="35" t="str">
        <f aca="false">IF(G21&gt;0,C21/G21,"")</f>
        <v/>
      </c>
      <c r="P21" s="35" t="str">
        <f aca="false">IF(H21&gt;0,C21/H21,"")</f>
        <v/>
      </c>
      <c r="Q21" s="34" t="str">
        <f aca="false">IF(F21&gt;0,H21/F21,"")</f>
        <v/>
      </c>
      <c r="R21" s="34" t="str">
        <f aca="false">IF(F21&gt;0,I21/F21,"")</f>
        <v/>
      </c>
      <c r="S21" s="34" t="str">
        <f aca="false">IF(F21&gt;0,J21/F21,"")</f>
        <v/>
      </c>
      <c r="T21" s="36" t="str">
        <f aca="false">IF(P21="","",IF(P21&lt;=$D$5,"On target","Too expensive"))</f>
        <v/>
      </c>
    </row>
    <row r="22" customFormat="false" ht="15" hidden="false" customHeight="false" outlineLevel="0" collapsed="false">
      <c r="A22" s="29"/>
      <c r="B22" s="30"/>
      <c r="C22" s="31"/>
      <c r="D22" s="32"/>
      <c r="E22" s="32"/>
      <c r="F22" s="32"/>
      <c r="G22" s="32"/>
      <c r="H22" s="32"/>
      <c r="I22" s="32"/>
      <c r="J22" s="32"/>
      <c r="K22" s="32"/>
      <c r="L22" s="33" t="str">
        <f aca="false">IF(D22&gt;0,E22/D22,"")</f>
        <v/>
      </c>
      <c r="M22" s="34" t="str">
        <f aca="false">IF(E22&gt;0,F22/E22,"")</f>
        <v/>
      </c>
      <c r="N22" s="35" t="str">
        <f aca="false">IF(F22&gt;0,C22/F22,"")</f>
        <v/>
      </c>
      <c r="O22" s="35" t="str">
        <f aca="false">IF(G22&gt;0,C22/G22,"")</f>
        <v/>
      </c>
      <c r="P22" s="35" t="str">
        <f aca="false">IF(H22&gt;0,C22/H22,"")</f>
        <v/>
      </c>
      <c r="Q22" s="34" t="str">
        <f aca="false">IF(F22&gt;0,H22/F22,"")</f>
        <v/>
      </c>
      <c r="R22" s="34" t="str">
        <f aca="false">IF(F22&gt;0,I22/F22,"")</f>
        <v/>
      </c>
      <c r="S22" s="34" t="str">
        <f aca="false">IF(F22&gt;0,J22/F22,"")</f>
        <v/>
      </c>
      <c r="T22" s="36" t="str">
        <f aca="false">IF(P22="","",IF(P22&lt;=$D$5,"On target","Too expensive"))</f>
        <v/>
      </c>
    </row>
    <row r="23" customFormat="false" ht="15" hidden="false" customHeight="false" outlineLevel="0" collapsed="false">
      <c r="A23" s="29"/>
      <c r="B23" s="30"/>
      <c r="C23" s="31"/>
      <c r="D23" s="32"/>
      <c r="E23" s="32"/>
      <c r="F23" s="32"/>
      <c r="G23" s="32"/>
      <c r="H23" s="32"/>
      <c r="I23" s="32"/>
      <c r="J23" s="32"/>
      <c r="K23" s="32"/>
      <c r="L23" s="33" t="str">
        <f aca="false">IF(D23&gt;0,E23/D23,"")</f>
        <v/>
      </c>
      <c r="M23" s="34" t="str">
        <f aca="false">IF(E23&gt;0,F23/E23,"")</f>
        <v/>
      </c>
      <c r="N23" s="35" t="str">
        <f aca="false">IF(F23&gt;0,C23/F23,"")</f>
        <v/>
      </c>
      <c r="O23" s="35" t="str">
        <f aca="false">IF(G23&gt;0,C23/G23,"")</f>
        <v/>
      </c>
      <c r="P23" s="35" t="str">
        <f aca="false">IF(H23&gt;0,C23/H23,"")</f>
        <v/>
      </c>
      <c r="Q23" s="34" t="str">
        <f aca="false">IF(F23&gt;0,H23/F23,"")</f>
        <v/>
      </c>
      <c r="R23" s="34" t="str">
        <f aca="false">IF(F23&gt;0,I23/F23,"")</f>
        <v/>
      </c>
      <c r="S23" s="34" t="str">
        <f aca="false">IF(F23&gt;0,J23/F23,"")</f>
        <v/>
      </c>
      <c r="T23" s="36" t="str">
        <f aca="false">IF(P23="","",IF(P23&lt;=$D$5,"On target","Too expensive"))</f>
        <v/>
      </c>
    </row>
    <row r="24" customFormat="false" ht="15" hidden="false" customHeight="false" outlineLevel="0" collapsed="false">
      <c r="A24" s="29"/>
      <c r="B24" s="30"/>
      <c r="C24" s="31"/>
      <c r="D24" s="32"/>
      <c r="E24" s="32"/>
      <c r="F24" s="32"/>
      <c r="G24" s="32"/>
      <c r="H24" s="32"/>
      <c r="I24" s="32"/>
      <c r="J24" s="32"/>
      <c r="K24" s="32"/>
      <c r="L24" s="33" t="str">
        <f aca="false">IF(D24&gt;0,E24/D24,"")</f>
        <v/>
      </c>
      <c r="M24" s="34" t="str">
        <f aca="false">IF(E24&gt;0,F24/E24,"")</f>
        <v/>
      </c>
      <c r="N24" s="35" t="str">
        <f aca="false">IF(F24&gt;0,C24/F24,"")</f>
        <v/>
      </c>
      <c r="O24" s="35" t="str">
        <f aca="false">IF(G24&gt;0,C24/G24,"")</f>
        <v/>
      </c>
      <c r="P24" s="35" t="str">
        <f aca="false">IF(H24&gt;0,C24/H24,"")</f>
        <v/>
      </c>
      <c r="Q24" s="34" t="str">
        <f aca="false">IF(F24&gt;0,H24/F24,"")</f>
        <v/>
      </c>
      <c r="R24" s="34" t="str">
        <f aca="false">IF(F24&gt;0,I24/F24,"")</f>
        <v/>
      </c>
      <c r="S24" s="34" t="str">
        <f aca="false">IF(F24&gt;0,J24/F24,"")</f>
        <v/>
      </c>
      <c r="T24" s="36" t="str">
        <f aca="false">IF(P24="","",IF(P24&lt;=$D$5,"On target","Too expensive"))</f>
        <v/>
      </c>
    </row>
    <row r="25" customFormat="false" ht="15" hidden="false" customHeight="false" outlineLevel="0" collapsed="false">
      <c r="A25" s="29"/>
      <c r="B25" s="30"/>
      <c r="C25" s="31"/>
      <c r="D25" s="32"/>
      <c r="E25" s="32"/>
      <c r="F25" s="32"/>
      <c r="G25" s="32"/>
      <c r="H25" s="32"/>
      <c r="I25" s="32"/>
      <c r="J25" s="32"/>
      <c r="K25" s="32"/>
      <c r="L25" s="33" t="str">
        <f aca="false">IF(D25&gt;0,E25/D25,"")</f>
        <v/>
      </c>
      <c r="M25" s="34" t="str">
        <f aca="false">IF(E25&gt;0,F25/E25,"")</f>
        <v/>
      </c>
      <c r="N25" s="35" t="str">
        <f aca="false">IF(F25&gt;0,C25/F25,"")</f>
        <v/>
      </c>
      <c r="O25" s="35" t="str">
        <f aca="false">IF(G25&gt;0,C25/G25,"")</f>
        <v/>
      </c>
      <c r="P25" s="35" t="str">
        <f aca="false">IF(H25&gt;0,C25/H25,"")</f>
        <v/>
      </c>
      <c r="Q25" s="34" t="str">
        <f aca="false">IF(F25&gt;0,H25/F25,"")</f>
        <v/>
      </c>
      <c r="R25" s="34" t="str">
        <f aca="false">IF(F25&gt;0,I25/F25,"")</f>
        <v/>
      </c>
      <c r="S25" s="34" t="str">
        <f aca="false">IF(F25&gt;0,J25/F25,"")</f>
        <v/>
      </c>
      <c r="T25" s="36" t="str">
        <f aca="false">IF(P25="","",IF(P25&lt;=$D$5,"On target","Too expensive"))</f>
        <v/>
      </c>
    </row>
    <row r="26" customFormat="false" ht="15" hidden="false" customHeight="false" outlineLevel="0" collapsed="false">
      <c r="A26" s="29"/>
      <c r="B26" s="30"/>
      <c r="C26" s="31"/>
      <c r="D26" s="32"/>
      <c r="E26" s="32"/>
      <c r="F26" s="32"/>
      <c r="G26" s="32"/>
      <c r="H26" s="32"/>
      <c r="I26" s="32"/>
      <c r="J26" s="32"/>
      <c r="K26" s="32"/>
      <c r="L26" s="33" t="str">
        <f aca="false">IF(D26&gt;0,E26/D26,"")</f>
        <v/>
      </c>
      <c r="M26" s="34" t="str">
        <f aca="false">IF(E26&gt;0,F26/E26,"")</f>
        <v/>
      </c>
      <c r="N26" s="35" t="str">
        <f aca="false">IF(F26&gt;0,C26/F26,"")</f>
        <v/>
      </c>
      <c r="O26" s="35" t="str">
        <f aca="false">IF(G26&gt;0,C26/G26,"")</f>
        <v/>
      </c>
      <c r="P26" s="35" t="str">
        <f aca="false">IF(H26&gt;0,C26/H26,"")</f>
        <v/>
      </c>
      <c r="Q26" s="34" t="str">
        <f aca="false">IF(F26&gt;0,H26/F26,"")</f>
        <v/>
      </c>
      <c r="R26" s="34" t="str">
        <f aca="false">IF(F26&gt;0,I26/F26,"")</f>
        <v/>
      </c>
      <c r="S26" s="34" t="str">
        <f aca="false">IF(F26&gt;0,J26/F26,"")</f>
        <v/>
      </c>
      <c r="T26" s="36" t="str">
        <f aca="false">IF(P26="","",IF(P26&lt;=$D$5,"On target","Too expensive"))</f>
        <v/>
      </c>
    </row>
    <row r="27" customFormat="false" ht="15" hidden="false" customHeight="false" outlineLevel="0" collapsed="false">
      <c r="A27" s="29"/>
      <c r="B27" s="30"/>
      <c r="C27" s="31"/>
      <c r="D27" s="32"/>
      <c r="E27" s="32"/>
      <c r="F27" s="32"/>
      <c r="G27" s="32"/>
      <c r="H27" s="32"/>
      <c r="I27" s="32"/>
      <c r="J27" s="32"/>
      <c r="K27" s="32"/>
      <c r="L27" s="33" t="str">
        <f aca="false">IF(D27&gt;0,E27/D27,"")</f>
        <v/>
      </c>
      <c r="M27" s="34" t="str">
        <f aca="false">IF(E27&gt;0,F27/E27,"")</f>
        <v/>
      </c>
      <c r="N27" s="35" t="str">
        <f aca="false">IF(F27&gt;0,C27/F27,"")</f>
        <v/>
      </c>
      <c r="O27" s="35" t="str">
        <f aca="false">IF(G27&gt;0,C27/G27,"")</f>
        <v/>
      </c>
      <c r="P27" s="35" t="str">
        <f aca="false">IF(H27&gt;0,C27/H27,"")</f>
        <v/>
      </c>
      <c r="Q27" s="34" t="str">
        <f aca="false">IF(F27&gt;0,H27/F27,"")</f>
        <v/>
      </c>
      <c r="R27" s="34" t="str">
        <f aca="false">IF(F27&gt;0,I27/F27,"")</f>
        <v/>
      </c>
      <c r="S27" s="34" t="str">
        <f aca="false">IF(F27&gt;0,J27/F27,"")</f>
        <v/>
      </c>
      <c r="T27" s="36" t="str">
        <f aca="false">IF(P27="","",IF(P27&lt;=$D$5,"On target","Too expensive"))</f>
        <v/>
      </c>
    </row>
    <row r="28" customFormat="false" ht="15" hidden="false" customHeight="false" outlineLevel="0" collapsed="false">
      <c r="A28" s="29"/>
      <c r="B28" s="30"/>
      <c r="C28" s="31"/>
      <c r="D28" s="32"/>
      <c r="E28" s="32"/>
      <c r="F28" s="32"/>
      <c r="G28" s="32"/>
      <c r="H28" s="32"/>
      <c r="I28" s="32"/>
      <c r="J28" s="32"/>
      <c r="K28" s="32"/>
      <c r="L28" s="33" t="str">
        <f aca="false">IF(D28&gt;0,E28/D28,"")</f>
        <v/>
      </c>
      <c r="M28" s="34" t="str">
        <f aca="false">IF(E28&gt;0,F28/E28,"")</f>
        <v/>
      </c>
      <c r="N28" s="35" t="str">
        <f aca="false">IF(F28&gt;0,C28/F28,"")</f>
        <v/>
      </c>
      <c r="O28" s="35" t="str">
        <f aca="false">IF(G28&gt;0,C28/G28,"")</f>
        <v/>
      </c>
      <c r="P28" s="35" t="str">
        <f aca="false">IF(H28&gt;0,C28/H28,"")</f>
        <v/>
      </c>
      <c r="Q28" s="34" t="str">
        <f aca="false">IF(F28&gt;0,H28/F28,"")</f>
        <v/>
      </c>
      <c r="R28" s="34" t="str">
        <f aca="false">IF(F28&gt;0,I28/F28,"")</f>
        <v/>
      </c>
      <c r="S28" s="34" t="str">
        <f aca="false">IF(F28&gt;0,J28/F28,"")</f>
        <v/>
      </c>
      <c r="T28" s="36" t="str">
        <f aca="false">IF(P28="","",IF(P28&lt;=$D$5,"On target","Too expensive"))</f>
        <v/>
      </c>
    </row>
    <row r="29" customFormat="false" ht="15" hidden="false" customHeight="false" outlineLevel="0" collapsed="false">
      <c r="A29" s="29"/>
      <c r="B29" s="30"/>
      <c r="C29" s="31"/>
      <c r="D29" s="32"/>
      <c r="E29" s="32"/>
      <c r="F29" s="32"/>
      <c r="G29" s="32"/>
      <c r="H29" s="32"/>
      <c r="I29" s="32"/>
      <c r="J29" s="32"/>
      <c r="K29" s="32"/>
      <c r="L29" s="33" t="str">
        <f aca="false">IF(D29&gt;0,E29/D29,"")</f>
        <v/>
      </c>
      <c r="M29" s="34" t="str">
        <f aca="false">IF(E29&gt;0,F29/E29,"")</f>
        <v/>
      </c>
      <c r="N29" s="35" t="str">
        <f aca="false">IF(F29&gt;0,C29/F29,"")</f>
        <v/>
      </c>
      <c r="O29" s="35" t="str">
        <f aca="false">IF(G29&gt;0,C29/G29,"")</f>
        <v/>
      </c>
      <c r="P29" s="35" t="str">
        <f aca="false">IF(H29&gt;0,C29/H29,"")</f>
        <v/>
      </c>
      <c r="Q29" s="34" t="str">
        <f aca="false">IF(F29&gt;0,H29/F29,"")</f>
        <v/>
      </c>
      <c r="R29" s="34" t="str">
        <f aca="false">IF(F29&gt;0,I29/F29,"")</f>
        <v/>
      </c>
      <c r="S29" s="34" t="str">
        <f aca="false">IF(F29&gt;0,J29/F29,"")</f>
        <v/>
      </c>
      <c r="T29" s="36" t="str">
        <f aca="false">IF(P29="","",IF(P29&lt;=$D$5,"On target","Too expensive"))</f>
        <v/>
      </c>
    </row>
    <row r="30" customFormat="false" ht="15" hidden="false" customHeight="false" outlineLevel="0" collapsed="false">
      <c r="A30" s="29"/>
      <c r="B30" s="30"/>
      <c r="C30" s="31"/>
      <c r="D30" s="32"/>
      <c r="E30" s="32"/>
      <c r="F30" s="32"/>
      <c r="G30" s="32"/>
      <c r="H30" s="32"/>
      <c r="I30" s="32"/>
      <c r="J30" s="32"/>
      <c r="K30" s="32"/>
      <c r="L30" s="33" t="str">
        <f aca="false">IF(D30&gt;0,E30/D30,"")</f>
        <v/>
      </c>
      <c r="M30" s="34" t="str">
        <f aca="false">IF(E30&gt;0,F30/E30,"")</f>
        <v/>
      </c>
      <c r="N30" s="35" t="str">
        <f aca="false">IF(F30&gt;0,C30/F30,"")</f>
        <v/>
      </c>
      <c r="O30" s="35" t="str">
        <f aca="false">IF(G30&gt;0,C30/G30,"")</f>
        <v/>
      </c>
      <c r="P30" s="35" t="str">
        <f aca="false">IF(H30&gt;0,C30/H30,"")</f>
        <v/>
      </c>
      <c r="Q30" s="34" t="str">
        <f aca="false">IF(F30&gt;0,H30/F30,"")</f>
        <v/>
      </c>
      <c r="R30" s="34" t="str">
        <f aca="false">IF(F30&gt;0,I30/F30,"")</f>
        <v/>
      </c>
      <c r="S30" s="34" t="str">
        <f aca="false">IF(F30&gt;0,J30/F30,"")</f>
        <v/>
      </c>
      <c r="T30" s="36" t="str">
        <f aca="false">IF(P30="","",IF(P30&lt;=$D$5,"On target","Too expensive"))</f>
        <v/>
      </c>
    </row>
    <row r="31" customFormat="false" ht="15" hidden="false" customHeight="false" outlineLevel="0" collapsed="false">
      <c r="A31" s="29"/>
      <c r="B31" s="30"/>
      <c r="C31" s="31"/>
      <c r="D31" s="32"/>
      <c r="E31" s="32"/>
      <c r="F31" s="32"/>
      <c r="G31" s="32"/>
      <c r="H31" s="32"/>
      <c r="I31" s="32"/>
      <c r="J31" s="32"/>
      <c r="K31" s="32"/>
      <c r="L31" s="33" t="str">
        <f aca="false">IF(D31&gt;0,E31/D31,"")</f>
        <v/>
      </c>
      <c r="M31" s="34" t="str">
        <f aca="false">IF(E31&gt;0,F31/E31,"")</f>
        <v/>
      </c>
      <c r="N31" s="35" t="str">
        <f aca="false">IF(F31&gt;0,C31/F31,"")</f>
        <v/>
      </c>
      <c r="O31" s="35" t="str">
        <f aca="false">IF(G31&gt;0,C31/G31,"")</f>
        <v/>
      </c>
      <c r="P31" s="35" t="str">
        <f aca="false">IF(H31&gt;0,C31/H31,"")</f>
        <v/>
      </c>
      <c r="Q31" s="34" t="str">
        <f aca="false">IF(F31&gt;0,H31/F31,"")</f>
        <v/>
      </c>
      <c r="R31" s="34" t="str">
        <f aca="false">IF(F31&gt;0,I31/F31,"")</f>
        <v/>
      </c>
      <c r="S31" s="34" t="str">
        <f aca="false">IF(F31&gt;0,J31/F31,"")</f>
        <v/>
      </c>
      <c r="T31" s="36" t="str">
        <f aca="false">IF(P31="","",IF(P31&lt;=$D$5,"On target","Too expensive"))</f>
        <v/>
      </c>
    </row>
    <row r="32" customFormat="false" ht="15" hidden="false" customHeight="false" outlineLevel="0" collapsed="false">
      <c r="A32" s="29"/>
      <c r="B32" s="30"/>
      <c r="C32" s="31"/>
      <c r="D32" s="32"/>
      <c r="E32" s="32"/>
      <c r="F32" s="32"/>
      <c r="G32" s="32"/>
      <c r="H32" s="32"/>
      <c r="I32" s="32"/>
      <c r="J32" s="32"/>
      <c r="K32" s="32"/>
      <c r="L32" s="33" t="str">
        <f aca="false">IF(D32&gt;0,E32/D32,"")</f>
        <v/>
      </c>
      <c r="M32" s="34" t="str">
        <f aca="false">IF(E32&gt;0,F32/E32,"")</f>
        <v/>
      </c>
      <c r="N32" s="35" t="str">
        <f aca="false">IF(F32&gt;0,C32/F32,"")</f>
        <v/>
      </c>
      <c r="O32" s="35" t="str">
        <f aca="false">IF(G32&gt;0,C32/G32,"")</f>
        <v/>
      </c>
      <c r="P32" s="35" t="str">
        <f aca="false">IF(H32&gt;0,C32/H32,"")</f>
        <v/>
      </c>
      <c r="Q32" s="34" t="str">
        <f aca="false">IF(F32&gt;0,H32/F32,"")</f>
        <v/>
      </c>
      <c r="R32" s="34" t="str">
        <f aca="false">IF(F32&gt;0,I32/F32,"")</f>
        <v/>
      </c>
      <c r="S32" s="34" t="str">
        <f aca="false">IF(F32&gt;0,J32/F32,"")</f>
        <v/>
      </c>
      <c r="T32" s="36" t="str">
        <f aca="false">IF(P32="","",IF(P32&lt;=$D$5,"On target","Too expensive"))</f>
        <v/>
      </c>
    </row>
    <row r="33" customFormat="false" ht="15" hidden="false" customHeight="false" outlineLevel="0" collapsed="false">
      <c r="A33" s="29"/>
      <c r="B33" s="30"/>
      <c r="C33" s="31"/>
      <c r="D33" s="32"/>
      <c r="E33" s="32"/>
      <c r="F33" s="32"/>
      <c r="G33" s="32"/>
      <c r="H33" s="32"/>
      <c r="I33" s="32"/>
      <c r="J33" s="32"/>
      <c r="K33" s="32"/>
      <c r="L33" s="33" t="str">
        <f aca="false">IF(D33&gt;0,E33/D33,"")</f>
        <v/>
      </c>
      <c r="M33" s="34" t="str">
        <f aca="false">IF(E33&gt;0,F33/E33,"")</f>
        <v/>
      </c>
      <c r="N33" s="35" t="str">
        <f aca="false">IF(F33&gt;0,C33/F33,"")</f>
        <v/>
      </c>
      <c r="O33" s="35" t="str">
        <f aca="false">IF(G33&gt;0,C33/G33,"")</f>
        <v/>
      </c>
      <c r="P33" s="35" t="str">
        <f aca="false">IF(H33&gt;0,C33/H33,"")</f>
        <v/>
      </c>
      <c r="Q33" s="34" t="str">
        <f aca="false">IF(F33&gt;0,H33/F33,"")</f>
        <v/>
      </c>
      <c r="R33" s="34" t="str">
        <f aca="false">IF(F33&gt;0,I33/F33,"")</f>
        <v/>
      </c>
      <c r="S33" s="34" t="str">
        <f aca="false">IF(F33&gt;0,J33/F33,"")</f>
        <v/>
      </c>
      <c r="T33" s="36" t="str">
        <f aca="false">IF(P33="","",IF(P33&lt;=$D$5,"On target","Too expensive"))</f>
        <v/>
      </c>
    </row>
    <row r="34" customFormat="false" ht="15" hidden="false" customHeight="false" outlineLevel="0" collapsed="false">
      <c r="A34" s="29"/>
      <c r="B34" s="30"/>
      <c r="C34" s="31"/>
      <c r="D34" s="32"/>
      <c r="E34" s="32"/>
      <c r="F34" s="32"/>
      <c r="G34" s="32"/>
      <c r="H34" s="32"/>
      <c r="I34" s="32"/>
      <c r="J34" s="32"/>
      <c r="K34" s="32"/>
      <c r="L34" s="33" t="str">
        <f aca="false">IF(D34&gt;0,E34/D34,"")</f>
        <v/>
      </c>
      <c r="M34" s="34" t="str">
        <f aca="false">IF(E34&gt;0,F34/E34,"")</f>
        <v/>
      </c>
      <c r="N34" s="35" t="str">
        <f aca="false">IF(F34&gt;0,C34/F34,"")</f>
        <v/>
      </c>
      <c r="O34" s="35" t="str">
        <f aca="false">IF(G34&gt;0,C34/G34,"")</f>
        <v/>
      </c>
      <c r="P34" s="35" t="str">
        <f aca="false">IF(H34&gt;0,C34/H34,"")</f>
        <v/>
      </c>
      <c r="Q34" s="34" t="str">
        <f aca="false">IF(F34&gt;0,H34/F34,"")</f>
        <v/>
      </c>
      <c r="R34" s="34" t="str">
        <f aca="false">IF(F34&gt;0,I34/F34,"")</f>
        <v/>
      </c>
      <c r="S34" s="34" t="str">
        <f aca="false">IF(F34&gt;0,J34/F34,"")</f>
        <v/>
      </c>
      <c r="T34" s="36" t="str">
        <f aca="false">IF(P34="","",IF(P34&lt;=$D$5,"On target","Too expensive"))</f>
        <v/>
      </c>
    </row>
    <row r="35" customFormat="false" ht="15" hidden="false" customHeight="false" outlineLevel="0" collapsed="false">
      <c r="A35" s="29"/>
      <c r="B35" s="30"/>
      <c r="C35" s="31"/>
      <c r="D35" s="32"/>
      <c r="E35" s="32"/>
      <c r="F35" s="32"/>
      <c r="G35" s="32"/>
      <c r="H35" s="32"/>
      <c r="I35" s="32"/>
      <c r="J35" s="32"/>
      <c r="K35" s="32"/>
      <c r="L35" s="33" t="str">
        <f aca="false">IF(D35&gt;0,E35/D35,"")</f>
        <v/>
      </c>
      <c r="M35" s="34" t="str">
        <f aca="false">IF(E35&gt;0,F35/E35,"")</f>
        <v/>
      </c>
      <c r="N35" s="35" t="str">
        <f aca="false">IF(F35&gt;0,C35/F35,"")</f>
        <v/>
      </c>
      <c r="O35" s="35" t="str">
        <f aca="false">IF(G35&gt;0,C35/G35,"")</f>
        <v/>
      </c>
      <c r="P35" s="35" t="str">
        <f aca="false">IF(H35&gt;0,C35/H35,"")</f>
        <v/>
      </c>
      <c r="Q35" s="34" t="str">
        <f aca="false">IF(F35&gt;0,H35/F35,"")</f>
        <v/>
      </c>
      <c r="R35" s="34" t="str">
        <f aca="false">IF(F35&gt;0,I35/F35,"")</f>
        <v/>
      </c>
      <c r="S35" s="34" t="str">
        <f aca="false">IF(F35&gt;0,J35/F35,"")</f>
        <v/>
      </c>
      <c r="T35" s="36" t="str">
        <f aca="false">IF(P35="","",IF(P35&lt;=$D$5,"On target","Too expensive"))</f>
        <v/>
      </c>
    </row>
    <row r="36" customFormat="false" ht="15" hidden="false" customHeight="false" outlineLevel="0" collapsed="false">
      <c r="A36" s="29"/>
      <c r="B36" s="30"/>
      <c r="C36" s="31"/>
      <c r="D36" s="32"/>
      <c r="E36" s="32"/>
      <c r="F36" s="32"/>
      <c r="G36" s="32"/>
      <c r="H36" s="32"/>
      <c r="I36" s="32"/>
      <c r="J36" s="32"/>
      <c r="K36" s="32"/>
      <c r="L36" s="33" t="str">
        <f aca="false">IF(D36&gt;0,E36/D36,"")</f>
        <v/>
      </c>
      <c r="M36" s="34" t="str">
        <f aca="false">IF(E36&gt;0,F36/E36,"")</f>
        <v/>
      </c>
      <c r="N36" s="35" t="str">
        <f aca="false">IF(F36&gt;0,C36/F36,"")</f>
        <v/>
      </c>
      <c r="O36" s="35" t="str">
        <f aca="false">IF(G36&gt;0,C36/G36,"")</f>
        <v/>
      </c>
      <c r="P36" s="35" t="str">
        <f aca="false">IF(H36&gt;0,C36/H36,"")</f>
        <v/>
      </c>
      <c r="Q36" s="34" t="str">
        <f aca="false">IF(F36&gt;0,H36/F36,"")</f>
        <v/>
      </c>
      <c r="R36" s="34" t="str">
        <f aca="false">IF(F36&gt;0,I36/F36,"")</f>
        <v/>
      </c>
      <c r="S36" s="34" t="str">
        <f aca="false">IF(F36&gt;0,J36/F36,"")</f>
        <v/>
      </c>
      <c r="T36" s="36" t="str">
        <f aca="false">IF(P36="","",IF(P36&lt;=$D$5,"On target","Too expensive"))</f>
        <v/>
      </c>
    </row>
    <row r="37" customFormat="false" ht="15" hidden="false" customHeight="false" outlineLevel="0" collapsed="false">
      <c r="A37" s="29"/>
      <c r="B37" s="30"/>
      <c r="C37" s="31"/>
      <c r="D37" s="32"/>
      <c r="E37" s="32"/>
      <c r="F37" s="32"/>
      <c r="G37" s="32"/>
      <c r="H37" s="32"/>
      <c r="I37" s="32"/>
      <c r="J37" s="32"/>
      <c r="K37" s="32"/>
      <c r="L37" s="33" t="str">
        <f aca="false">IF(D37&gt;0,E37/D37,"")</f>
        <v/>
      </c>
      <c r="M37" s="34" t="str">
        <f aca="false">IF(E37&gt;0,F37/E37,"")</f>
        <v/>
      </c>
      <c r="N37" s="35" t="str">
        <f aca="false">IF(F37&gt;0,C37/F37,"")</f>
        <v/>
      </c>
      <c r="O37" s="35" t="str">
        <f aca="false">IF(G37&gt;0,C37/G37,"")</f>
        <v/>
      </c>
      <c r="P37" s="35" t="str">
        <f aca="false">IF(H37&gt;0,C37/H37,"")</f>
        <v/>
      </c>
      <c r="Q37" s="34" t="str">
        <f aca="false">IF(F37&gt;0,H37/F37,"")</f>
        <v/>
      </c>
      <c r="R37" s="34" t="str">
        <f aca="false">IF(F37&gt;0,I37/F37,"")</f>
        <v/>
      </c>
      <c r="S37" s="34" t="str">
        <f aca="false">IF(F37&gt;0,J37/F37,"")</f>
        <v/>
      </c>
      <c r="T37" s="36" t="str">
        <f aca="false">IF(P37="","",IF(P37&lt;=$D$5,"On target","Too expensive"))</f>
        <v/>
      </c>
    </row>
    <row r="38" customFormat="false" ht="15" hidden="false" customHeight="false" outlineLevel="0" collapsed="false">
      <c r="A38" s="29"/>
      <c r="B38" s="30"/>
      <c r="C38" s="31"/>
      <c r="D38" s="32"/>
      <c r="E38" s="32"/>
      <c r="F38" s="32"/>
      <c r="G38" s="32"/>
      <c r="H38" s="32"/>
      <c r="I38" s="32"/>
      <c r="J38" s="32"/>
      <c r="K38" s="32"/>
      <c r="L38" s="33" t="str">
        <f aca="false">IF(D38&gt;0,E38/D38,"")</f>
        <v/>
      </c>
      <c r="M38" s="34" t="str">
        <f aca="false">IF(E38&gt;0,F38/E38,"")</f>
        <v/>
      </c>
      <c r="N38" s="35" t="str">
        <f aca="false">IF(F38&gt;0,C38/F38,"")</f>
        <v/>
      </c>
      <c r="O38" s="35" t="str">
        <f aca="false">IF(G38&gt;0,C38/G38,"")</f>
        <v/>
      </c>
      <c r="P38" s="35" t="str">
        <f aca="false">IF(H38&gt;0,C38/H38,"")</f>
        <v/>
      </c>
      <c r="Q38" s="34" t="str">
        <f aca="false">IF(F38&gt;0,H38/F38,"")</f>
        <v/>
      </c>
      <c r="R38" s="34" t="str">
        <f aca="false">IF(F38&gt;0,I38/F38,"")</f>
        <v/>
      </c>
      <c r="S38" s="34" t="str">
        <f aca="false">IF(F38&gt;0,J38/F38,"")</f>
        <v/>
      </c>
      <c r="T38" s="36" t="str">
        <f aca="false">IF(P38="","",IF(P38&lt;=$D$5,"On target","Too expensive"))</f>
        <v/>
      </c>
    </row>
    <row r="39" customFormat="false" ht="15" hidden="false" customHeight="false" outlineLevel="0" collapsed="false">
      <c r="A39" s="29"/>
      <c r="B39" s="30"/>
      <c r="C39" s="31"/>
      <c r="D39" s="32"/>
      <c r="E39" s="32"/>
      <c r="F39" s="32"/>
      <c r="G39" s="32"/>
      <c r="H39" s="32"/>
      <c r="I39" s="32"/>
      <c r="J39" s="32"/>
      <c r="K39" s="32"/>
      <c r="L39" s="33" t="str">
        <f aca="false">IF(D39&gt;0,E39/D39,"")</f>
        <v/>
      </c>
      <c r="M39" s="34" t="str">
        <f aca="false">IF(E39&gt;0,F39/E39,"")</f>
        <v/>
      </c>
      <c r="N39" s="35" t="str">
        <f aca="false">IF(F39&gt;0,C39/F39,"")</f>
        <v/>
      </c>
      <c r="O39" s="35" t="str">
        <f aca="false">IF(G39&gt;0,C39/G39,"")</f>
        <v/>
      </c>
      <c r="P39" s="35" t="str">
        <f aca="false">IF(H39&gt;0,C39/H39,"")</f>
        <v/>
      </c>
      <c r="Q39" s="34" t="str">
        <f aca="false">IF(F39&gt;0,H39/F39,"")</f>
        <v/>
      </c>
      <c r="R39" s="34" t="str">
        <f aca="false">IF(F39&gt;0,I39/F39,"")</f>
        <v/>
      </c>
      <c r="S39" s="34" t="str">
        <f aca="false">IF(F39&gt;0,J39/F39,"")</f>
        <v/>
      </c>
      <c r="T39" s="36" t="str">
        <f aca="false">IF(P39="","",IF(P39&lt;=$D$5,"On target","Too expensive"))</f>
        <v/>
      </c>
    </row>
    <row r="40" customFormat="false" ht="15" hidden="false" customHeight="false" outlineLevel="0" collapsed="false">
      <c r="A40" s="29"/>
      <c r="B40" s="30"/>
      <c r="C40" s="31"/>
      <c r="D40" s="32"/>
      <c r="E40" s="32"/>
      <c r="F40" s="32"/>
      <c r="G40" s="32"/>
      <c r="H40" s="32"/>
      <c r="I40" s="32"/>
      <c r="J40" s="32"/>
      <c r="K40" s="32"/>
      <c r="L40" s="33" t="str">
        <f aca="false">IF(D40&gt;0,E40/D40,"")</f>
        <v/>
      </c>
      <c r="M40" s="34" t="str">
        <f aca="false">IF(E40&gt;0,F40/E40,"")</f>
        <v/>
      </c>
      <c r="N40" s="35" t="str">
        <f aca="false">IF(F40&gt;0,C40/F40,"")</f>
        <v/>
      </c>
      <c r="O40" s="35" t="str">
        <f aca="false">IF(G40&gt;0,C40/G40,"")</f>
        <v/>
      </c>
      <c r="P40" s="35" t="str">
        <f aca="false">IF(H40&gt;0,C40/H40,"")</f>
        <v/>
      </c>
      <c r="Q40" s="34" t="str">
        <f aca="false">IF(F40&gt;0,H40/F40,"")</f>
        <v/>
      </c>
      <c r="R40" s="34" t="str">
        <f aca="false">IF(F40&gt;0,I40/F40,"")</f>
        <v/>
      </c>
      <c r="S40" s="34" t="str">
        <f aca="false">IF(F40&gt;0,J40/F40,"")</f>
        <v/>
      </c>
      <c r="T40" s="36" t="str">
        <f aca="false">IF(P40="","",IF(P40&lt;=$D$5,"On target","Too expensive"))</f>
        <v/>
      </c>
    </row>
    <row r="41" customFormat="false" ht="15" hidden="false" customHeight="false" outlineLevel="0" collapsed="false">
      <c r="A41" s="29"/>
      <c r="B41" s="30"/>
      <c r="C41" s="31"/>
      <c r="D41" s="32"/>
      <c r="E41" s="32"/>
      <c r="F41" s="32"/>
      <c r="G41" s="32"/>
      <c r="H41" s="32"/>
      <c r="I41" s="32"/>
      <c r="J41" s="32"/>
      <c r="K41" s="32"/>
      <c r="L41" s="33" t="str">
        <f aca="false">IF(D41&gt;0,E41/D41,"")</f>
        <v/>
      </c>
      <c r="M41" s="34" t="str">
        <f aca="false">IF(E41&gt;0,F41/E41,"")</f>
        <v/>
      </c>
      <c r="N41" s="35" t="str">
        <f aca="false">IF(F41&gt;0,C41/F41,"")</f>
        <v/>
      </c>
      <c r="O41" s="35" t="str">
        <f aca="false">IF(G41&gt;0,C41/G41,"")</f>
        <v/>
      </c>
      <c r="P41" s="35" t="str">
        <f aca="false">IF(H41&gt;0,C41/H41,"")</f>
        <v/>
      </c>
      <c r="Q41" s="34" t="str">
        <f aca="false">IF(F41&gt;0,H41/F41,"")</f>
        <v/>
      </c>
      <c r="R41" s="34" t="str">
        <f aca="false">IF(F41&gt;0,I41/F41,"")</f>
        <v/>
      </c>
      <c r="S41" s="34" t="str">
        <f aca="false">IF(F41&gt;0,J41/F41,"")</f>
        <v/>
      </c>
      <c r="T41" s="36" t="str">
        <f aca="false">IF(P41="","",IF(P41&lt;=$D$5,"On target","Too expensive"))</f>
        <v/>
      </c>
    </row>
    <row r="42" customFormat="false" ht="15" hidden="false" customHeight="false" outlineLevel="0" collapsed="false">
      <c r="A42" s="29"/>
      <c r="B42" s="30"/>
      <c r="C42" s="31"/>
      <c r="D42" s="32"/>
      <c r="E42" s="32"/>
      <c r="F42" s="32"/>
      <c r="G42" s="32"/>
      <c r="H42" s="32"/>
      <c r="I42" s="32"/>
      <c r="J42" s="32"/>
      <c r="K42" s="32"/>
      <c r="L42" s="33" t="str">
        <f aca="false">IF(D42&gt;0,E42/D42,"")</f>
        <v/>
      </c>
      <c r="M42" s="34" t="str">
        <f aca="false">IF(E42&gt;0,F42/E42,"")</f>
        <v/>
      </c>
      <c r="N42" s="35" t="str">
        <f aca="false">IF(F42&gt;0,C42/F42,"")</f>
        <v/>
      </c>
      <c r="O42" s="35" t="str">
        <f aca="false">IF(G42&gt;0,C42/G42,"")</f>
        <v/>
      </c>
      <c r="P42" s="35" t="str">
        <f aca="false">IF(H42&gt;0,C42/H42,"")</f>
        <v/>
      </c>
      <c r="Q42" s="34" t="str">
        <f aca="false">IF(F42&gt;0,H42/F42,"")</f>
        <v/>
      </c>
      <c r="R42" s="34" t="str">
        <f aca="false">IF(F42&gt;0,I42/F42,"")</f>
        <v/>
      </c>
      <c r="S42" s="34" t="str">
        <f aca="false">IF(F42&gt;0,J42/F42,"")</f>
        <v/>
      </c>
      <c r="T42" s="36" t="str">
        <f aca="false">IF(P42="","",IF(P42&lt;=$D$5,"On target","Too expensive"))</f>
        <v/>
      </c>
    </row>
    <row r="43" customFormat="false" ht="15" hidden="false" customHeight="false" outlineLevel="0" collapsed="false">
      <c r="A43" s="29"/>
      <c r="B43" s="30"/>
      <c r="C43" s="31"/>
      <c r="D43" s="32"/>
      <c r="E43" s="32"/>
      <c r="F43" s="32"/>
      <c r="G43" s="32"/>
      <c r="H43" s="32"/>
      <c r="I43" s="32"/>
      <c r="J43" s="32"/>
      <c r="K43" s="32"/>
      <c r="L43" s="33" t="str">
        <f aca="false">IF(D43&gt;0,E43/D43,"")</f>
        <v/>
      </c>
      <c r="M43" s="34" t="str">
        <f aca="false">IF(E43&gt;0,F43/E43,"")</f>
        <v/>
      </c>
      <c r="N43" s="35" t="str">
        <f aca="false">IF(F43&gt;0,C43/F43,"")</f>
        <v/>
      </c>
      <c r="O43" s="35" t="str">
        <f aca="false">IF(G43&gt;0,C43/G43,"")</f>
        <v/>
      </c>
      <c r="P43" s="35" t="str">
        <f aca="false">IF(H43&gt;0,C43/H43,"")</f>
        <v/>
      </c>
      <c r="Q43" s="34" t="str">
        <f aca="false">IF(F43&gt;0,H43/F43,"")</f>
        <v/>
      </c>
      <c r="R43" s="34" t="str">
        <f aca="false">IF(F43&gt;0,I43/F43,"")</f>
        <v/>
      </c>
      <c r="S43" s="34" t="str">
        <f aca="false">IF(F43&gt;0,J43/F43,"")</f>
        <v/>
      </c>
      <c r="T43" s="36" t="str">
        <f aca="false">IF(P43="","",IF(P43&lt;=$D$5,"On target","Too expensive"))</f>
        <v/>
      </c>
    </row>
    <row r="44" customFormat="false" ht="15" hidden="false" customHeight="false" outlineLevel="0" collapsed="false">
      <c r="A44" s="29"/>
      <c r="B44" s="30"/>
      <c r="C44" s="31"/>
      <c r="D44" s="32"/>
      <c r="E44" s="32"/>
      <c r="F44" s="32"/>
      <c r="G44" s="32"/>
      <c r="H44" s="32"/>
      <c r="I44" s="32"/>
      <c r="J44" s="32"/>
      <c r="K44" s="32"/>
      <c r="L44" s="33" t="str">
        <f aca="false">IF(D44&gt;0,E44/D44,"")</f>
        <v/>
      </c>
      <c r="M44" s="34" t="str">
        <f aca="false">IF(E44&gt;0,F44/E44,"")</f>
        <v/>
      </c>
      <c r="N44" s="35" t="str">
        <f aca="false">IF(F44&gt;0,C44/F44,"")</f>
        <v/>
      </c>
      <c r="O44" s="35" t="str">
        <f aca="false">IF(G44&gt;0,C44/G44,"")</f>
        <v/>
      </c>
      <c r="P44" s="35" t="str">
        <f aca="false">IF(H44&gt;0,C44/H44,"")</f>
        <v/>
      </c>
      <c r="Q44" s="34" t="str">
        <f aca="false">IF(F44&gt;0,H44/F44,"")</f>
        <v/>
      </c>
      <c r="R44" s="34" t="str">
        <f aca="false">IF(F44&gt;0,I44/F44,"")</f>
        <v/>
      </c>
      <c r="S44" s="34" t="str">
        <f aca="false">IF(F44&gt;0,J44/F44,"")</f>
        <v/>
      </c>
      <c r="T44" s="36" t="str">
        <f aca="false">IF(P44="","",IF(P44&lt;=$D$5,"On target","Too expensive"))</f>
        <v/>
      </c>
    </row>
    <row r="45" customFormat="false" ht="15" hidden="false" customHeight="false" outlineLevel="0" collapsed="false">
      <c r="A45" s="29"/>
      <c r="B45" s="30"/>
      <c r="C45" s="31"/>
      <c r="D45" s="32"/>
      <c r="E45" s="32"/>
      <c r="F45" s="32"/>
      <c r="G45" s="32"/>
      <c r="H45" s="32"/>
      <c r="I45" s="32"/>
      <c r="J45" s="32"/>
      <c r="K45" s="32"/>
      <c r="L45" s="33" t="str">
        <f aca="false">IF(D45&gt;0,E45/D45,"")</f>
        <v/>
      </c>
      <c r="M45" s="34" t="str">
        <f aca="false">IF(E45&gt;0,F45/E45,"")</f>
        <v/>
      </c>
      <c r="N45" s="35" t="str">
        <f aca="false">IF(F45&gt;0,C45/F45,"")</f>
        <v/>
      </c>
      <c r="O45" s="35" t="str">
        <f aca="false">IF(G45&gt;0,C45/G45,"")</f>
        <v/>
      </c>
      <c r="P45" s="35" t="str">
        <f aca="false">IF(H45&gt;0,C45/H45,"")</f>
        <v/>
      </c>
      <c r="Q45" s="34" t="str">
        <f aca="false">IF(F45&gt;0,H45/F45,"")</f>
        <v/>
      </c>
      <c r="R45" s="34" t="str">
        <f aca="false">IF(F45&gt;0,I45/F45,"")</f>
        <v/>
      </c>
      <c r="S45" s="34" t="str">
        <f aca="false">IF(F45&gt;0,J45/F45,"")</f>
        <v/>
      </c>
      <c r="T45" s="36" t="str">
        <f aca="false">IF(P45="","",IF(P45&lt;=$D$5,"On target","Too expensive"))</f>
        <v/>
      </c>
    </row>
    <row r="46" customFormat="false" ht="15" hidden="false" customHeight="false" outlineLevel="0" collapsed="false">
      <c r="A46" s="29"/>
      <c r="B46" s="30"/>
      <c r="C46" s="31"/>
      <c r="D46" s="32"/>
      <c r="E46" s="32"/>
      <c r="F46" s="32"/>
      <c r="G46" s="32"/>
      <c r="H46" s="32"/>
      <c r="I46" s="32"/>
      <c r="J46" s="32"/>
      <c r="K46" s="32"/>
      <c r="L46" s="33" t="str">
        <f aca="false">IF(D46&gt;0,E46/D46,"")</f>
        <v/>
      </c>
      <c r="M46" s="34" t="str">
        <f aca="false">IF(E46&gt;0,F46/E46,"")</f>
        <v/>
      </c>
      <c r="N46" s="35" t="str">
        <f aca="false">IF(F46&gt;0,C46/F46,"")</f>
        <v/>
      </c>
      <c r="O46" s="35" t="str">
        <f aca="false">IF(G46&gt;0,C46/G46,"")</f>
        <v/>
      </c>
      <c r="P46" s="35" t="str">
        <f aca="false">IF(H46&gt;0,C46/H46,"")</f>
        <v/>
      </c>
      <c r="Q46" s="34" t="str">
        <f aca="false">IF(F46&gt;0,H46/F46,"")</f>
        <v/>
      </c>
      <c r="R46" s="34" t="str">
        <f aca="false">IF(F46&gt;0,I46/F46,"")</f>
        <v/>
      </c>
      <c r="S46" s="34" t="str">
        <f aca="false">IF(F46&gt;0,J46/F46,"")</f>
        <v/>
      </c>
      <c r="T46" s="36" t="str">
        <f aca="false">IF(P46="","",IF(P46&lt;=$D$5,"On target","Too expensive"))</f>
        <v/>
      </c>
    </row>
    <row r="47" customFormat="false" ht="15" hidden="false" customHeight="false" outlineLevel="0" collapsed="false">
      <c r="A47" s="29"/>
      <c r="B47" s="30"/>
      <c r="C47" s="31"/>
      <c r="D47" s="32"/>
      <c r="E47" s="32"/>
      <c r="F47" s="32"/>
      <c r="G47" s="32"/>
      <c r="H47" s="32"/>
      <c r="I47" s="32"/>
      <c r="J47" s="32"/>
      <c r="K47" s="32"/>
      <c r="L47" s="33" t="str">
        <f aca="false">IF(D47&gt;0,E47/D47,"")</f>
        <v/>
      </c>
      <c r="M47" s="34" t="str">
        <f aca="false">IF(E47&gt;0,F47/E47,"")</f>
        <v/>
      </c>
      <c r="N47" s="35" t="str">
        <f aca="false">IF(F47&gt;0,C47/F47,"")</f>
        <v/>
      </c>
      <c r="O47" s="35" t="str">
        <f aca="false">IF(G47&gt;0,C47/G47,"")</f>
        <v/>
      </c>
      <c r="P47" s="35" t="str">
        <f aca="false">IF(H47&gt;0,C47/H47,"")</f>
        <v/>
      </c>
      <c r="Q47" s="34" t="str">
        <f aca="false">IF(F47&gt;0,H47/F47,"")</f>
        <v/>
      </c>
      <c r="R47" s="34" t="str">
        <f aca="false">IF(F47&gt;0,I47/F47,"")</f>
        <v/>
      </c>
      <c r="S47" s="34" t="str">
        <f aca="false">IF(F47&gt;0,J47/F47,"")</f>
        <v/>
      </c>
      <c r="T47" s="36" t="str">
        <f aca="false">IF(P47="","",IF(P47&lt;=$D$5,"On target","Too expensive"))</f>
        <v/>
      </c>
    </row>
    <row r="48" customFormat="false" ht="15" hidden="false" customHeight="false" outlineLevel="0" collapsed="false">
      <c r="A48" s="29"/>
      <c r="B48" s="30"/>
      <c r="C48" s="31"/>
      <c r="D48" s="32"/>
      <c r="E48" s="32"/>
      <c r="F48" s="32"/>
      <c r="G48" s="32"/>
      <c r="H48" s="32"/>
      <c r="I48" s="32"/>
      <c r="J48" s="32"/>
      <c r="K48" s="32"/>
      <c r="L48" s="33" t="str">
        <f aca="false">IF(D48&gt;0,E48/D48,"")</f>
        <v/>
      </c>
      <c r="M48" s="34" t="str">
        <f aca="false">IF(E48&gt;0,F48/E48,"")</f>
        <v/>
      </c>
      <c r="N48" s="35" t="str">
        <f aca="false">IF(F48&gt;0,C48/F48,"")</f>
        <v/>
      </c>
      <c r="O48" s="35" t="str">
        <f aca="false">IF(G48&gt;0,C48/G48,"")</f>
        <v/>
      </c>
      <c r="P48" s="35" t="str">
        <f aca="false">IF(H48&gt;0,C48/H48,"")</f>
        <v/>
      </c>
      <c r="Q48" s="34" t="str">
        <f aca="false">IF(F48&gt;0,H48/F48,"")</f>
        <v/>
      </c>
      <c r="R48" s="34" t="str">
        <f aca="false">IF(F48&gt;0,I48/F48,"")</f>
        <v/>
      </c>
      <c r="S48" s="34" t="str">
        <f aca="false">IF(F48&gt;0,J48/F48,"")</f>
        <v/>
      </c>
      <c r="T48" s="36" t="str">
        <f aca="false">IF(P48="","",IF(P48&lt;=$D$5,"On target","Too expensive"))</f>
        <v/>
      </c>
    </row>
    <row r="49" customFormat="false" ht="15" hidden="false" customHeight="false" outlineLevel="0" collapsed="false">
      <c r="A49" s="29"/>
      <c r="B49" s="30"/>
      <c r="C49" s="31"/>
      <c r="D49" s="32"/>
      <c r="E49" s="32"/>
      <c r="F49" s="32"/>
      <c r="G49" s="32"/>
      <c r="H49" s="32"/>
      <c r="I49" s="32"/>
      <c r="J49" s="32"/>
      <c r="K49" s="32"/>
      <c r="L49" s="33" t="str">
        <f aca="false">IF(D49&gt;0,E49/D49,"")</f>
        <v/>
      </c>
      <c r="M49" s="34" t="str">
        <f aca="false">IF(E49&gt;0,F49/E49,"")</f>
        <v/>
      </c>
      <c r="N49" s="35" t="str">
        <f aca="false">IF(F49&gt;0,C49/F49,"")</f>
        <v/>
      </c>
      <c r="O49" s="35" t="str">
        <f aca="false">IF(G49&gt;0,C49/G49,"")</f>
        <v/>
      </c>
      <c r="P49" s="35" t="str">
        <f aca="false">IF(H49&gt;0,C49/H49,"")</f>
        <v/>
      </c>
      <c r="Q49" s="34" t="str">
        <f aca="false">IF(F49&gt;0,H49/F49,"")</f>
        <v/>
      </c>
      <c r="R49" s="34" t="str">
        <f aca="false">IF(F49&gt;0,I49/F49,"")</f>
        <v/>
      </c>
      <c r="S49" s="34" t="str">
        <f aca="false">IF(F49&gt;0,J49/F49,"")</f>
        <v/>
      </c>
      <c r="T49" s="36" t="str">
        <f aca="false">IF(P49="","",IF(P49&lt;=$D$5,"On target","Too expensive"))</f>
        <v/>
      </c>
    </row>
    <row r="50" customFormat="false" ht="15" hidden="false" customHeight="false" outlineLevel="0" collapsed="false">
      <c r="A50" s="29"/>
      <c r="B50" s="30"/>
      <c r="C50" s="31"/>
      <c r="D50" s="32"/>
      <c r="E50" s="32"/>
      <c r="F50" s="32"/>
      <c r="G50" s="32"/>
      <c r="H50" s="32"/>
      <c r="I50" s="32"/>
      <c r="J50" s="32"/>
      <c r="K50" s="32"/>
      <c r="L50" s="33" t="str">
        <f aca="false">IF(D50&gt;0,E50/D50,"")</f>
        <v/>
      </c>
      <c r="M50" s="34" t="str">
        <f aca="false">IF(E50&gt;0,F50/E50,"")</f>
        <v/>
      </c>
      <c r="N50" s="35" t="str">
        <f aca="false">IF(F50&gt;0,C50/F50,"")</f>
        <v/>
      </c>
      <c r="O50" s="35" t="str">
        <f aca="false">IF(G50&gt;0,C50/G50,"")</f>
        <v/>
      </c>
      <c r="P50" s="35" t="str">
        <f aca="false">IF(H50&gt;0,C50/H50,"")</f>
        <v/>
      </c>
      <c r="Q50" s="34" t="str">
        <f aca="false">IF(F50&gt;0,H50/F50,"")</f>
        <v/>
      </c>
      <c r="R50" s="34" t="str">
        <f aca="false">IF(F50&gt;0,I50/F50,"")</f>
        <v/>
      </c>
      <c r="S50" s="34" t="str">
        <f aca="false">IF(F50&gt;0,J50/F50,"")</f>
        <v/>
      </c>
      <c r="T50" s="36" t="str">
        <f aca="false">IF(P50="","",IF(P50&lt;=$D$5,"On target","Too expensive"))</f>
        <v/>
      </c>
    </row>
    <row r="51" customFormat="false" ht="15" hidden="false" customHeight="false" outlineLevel="0" collapsed="false">
      <c r="A51" s="29"/>
      <c r="B51" s="30"/>
      <c r="C51" s="31"/>
      <c r="D51" s="32"/>
      <c r="E51" s="32"/>
      <c r="F51" s="32"/>
      <c r="G51" s="32"/>
      <c r="H51" s="32"/>
      <c r="I51" s="32"/>
      <c r="J51" s="32"/>
      <c r="K51" s="32"/>
      <c r="L51" s="33" t="str">
        <f aca="false">IF(D51&gt;0,E51/D51,"")</f>
        <v/>
      </c>
      <c r="M51" s="34" t="str">
        <f aca="false">IF(E51&gt;0,F51/E51,"")</f>
        <v/>
      </c>
      <c r="N51" s="35" t="str">
        <f aca="false">IF(F51&gt;0,C51/F51,"")</f>
        <v/>
      </c>
      <c r="O51" s="35" t="str">
        <f aca="false">IF(G51&gt;0,C51/G51,"")</f>
        <v/>
      </c>
      <c r="P51" s="35" t="str">
        <f aca="false">IF(H51&gt;0,C51/H51,"")</f>
        <v/>
      </c>
      <c r="Q51" s="34" t="str">
        <f aca="false">IF(F51&gt;0,H51/F51,"")</f>
        <v/>
      </c>
      <c r="R51" s="34" t="str">
        <f aca="false">IF(F51&gt;0,I51/F51,"")</f>
        <v/>
      </c>
      <c r="S51" s="34" t="str">
        <f aca="false">IF(F51&gt;0,J51/F51,"")</f>
        <v/>
      </c>
      <c r="T51" s="36" t="str">
        <f aca="false">IF(P51="","",IF(P51&lt;=$D$5,"On target","Too expensive"))</f>
        <v/>
      </c>
    </row>
    <row r="53" customFormat="false" ht="15" hidden="false" customHeight="false" outlineLevel="0" collapsed="false">
      <c r="A53" s="37" t="s">
        <v>533</v>
      </c>
      <c r="C53" s="38" t="n">
        <f aca="false">SUM(C12:C51)</f>
        <v>10500</v>
      </c>
      <c r="D53" s="39" t="n">
        <f aca="false">SUM(D12:D51)</f>
        <v>210000</v>
      </c>
      <c r="E53" s="39" t="n">
        <f aca="false">SUM(E12:E51)</f>
        <v>3150</v>
      </c>
      <c r="F53" s="39" t="n">
        <f aca="false">SUM(F12:F51)</f>
        <v>630</v>
      </c>
      <c r="G53" s="39" t="n">
        <f aca="false">SUM(G12:G51)</f>
        <v>410</v>
      </c>
      <c r="H53" s="39" t="n">
        <f aca="false">SUM(H12:H51)</f>
        <v>180</v>
      </c>
      <c r="I53" s="39" t="n">
        <f aca="false">SUM(I12:I51)</f>
        <v>95</v>
      </c>
      <c r="J53" s="39" t="n">
        <f aca="false">SUM(J12:J51)</f>
        <v>40</v>
      </c>
      <c r="K53" s="39" t="n">
        <f aca="false">SUM(K12:K51)</f>
        <v>6</v>
      </c>
      <c r="L53" s="40" t="n">
        <f aca="false">IF(D53&gt;0,E53/D53,"")</f>
        <v>0.015</v>
      </c>
      <c r="M53" s="41" t="n">
        <f aca="false">IF(E53&gt;0,F53/E53,"")</f>
        <v>0.2</v>
      </c>
      <c r="N53" s="42" t="n">
        <f aca="false">IF(F53&gt;0,C53/F53,"")</f>
        <v>16.6666666666667</v>
      </c>
      <c r="O53" s="42" t="n">
        <f aca="false">IF(G53&gt;0,C53/G53,"")</f>
        <v>25.609756097561</v>
      </c>
      <c r="P53" s="42" t="n">
        <f aca="false">IF(H53&gt;0,C53/H53,"")</f>
        <v>58.3333333333333</v>
      </c>
      <c r="Q53" s="41" t="n">
        <f aca="false">IF(F53&gt;0,H53/F53,"")</f>
        <v>0.285714285714286</v>
      </c>
      <c r="R53" s="41" t="n">
        <f aca="false">IF(F53&gt;0,I53/F53,"")</f>
        <v>0.150793650793651</v>
      </c>
      <c r="S53" s="41" t="n">
        <f aca="false">IF(F53&gt;0,J53/F53,"")</f>
        <v>0.0634920634920635</v>
      </c>
    </row>
    <row r="56" customFormat="false" ht="15" hidden="false" customHeight="false" outlineLevel="0" collapsed="false">
      <c r="A56" s="21" t="s">
        <v>534</v>
      </c>
    </row>
    <row r="57" customFormat="false" ht="24" hidden="false" customHeight="true" outlineLevel="0" collapsed="false">
      <c r="A57" s="43" t="s">
        <v>535</v>
      </c>
      <c r="B57" s="43"/>
      <c r="C57" s="43"/>
      <c r="D57" s="44" t="s">
        <v>536</v>
      </c>
      <c r="E57" s="44"/>
      <c r="F57" s="44"/>
      <c r="G57" s="44"/>
      <c r="H57" s="44"/>
      <c r="I57" s="44"/>
      <c r="J57" s="44"/>
      <c r="K57" s="44"/>
      <c r="L57" s="44"/>
      <c r="M57" s="44"/>
      <c r="N57" s="44"/>
      <c r="O57" s="44"/>
      <c r="P57" s="44"/>
    </row>
    <row r="58" customFormat="false" ht="24" hidden="false" customHeight="true" outlineLevel="0" collapsed="false">
      <c r="A58" s="43" t="s">
        <v>537</v>
      </c>
      <c r="B58" s="43"/>
      <c r="C58" s="43"/>
      <c r="D58" s="44" t="s">
        <v>538</v>
      </c>
      <c r="E58" s="44"/>
      <c r="F58" s="44"/>
      <c r="G58" s="44"/>
      <c r="H58" s="44"/>
      <c r="I58" s="44"/>
      <c r="J58" s="44"/>
      <c r="K58" s="44"/>
      <c r="L58" s="44"/>
      <c r="M58" s="44"/>
      <c r="N58" s="44"/>
      <c r="O58" s="44"/>
      <c r="P58" s="44"/>
    </row>
    <row r="59" customFormat="false" ht="24" hidden="false" customHeight="true" outlineLevel="0" collapsed="false">
      <c r="A59" s="43" t="s">
        <v>539</v>
      </c>
      <c r="B59" s="43"/>
      <c r="C59" s="43"/>
      <c r="D59" s="44" t="s">
        <v>540</v>
      </c>
      <c r="E59" s="44"/>
      <c r="F59" s="44"/>
      <c r="G59" s="44"/>
      <c r="H59" s="44"/>
      <c r="I59" s="44"/>
      <c r="J59" s="44"/>
      <c r="K59" s="44"/>
      <c r="L59" s="44"/>
      <c r="M59" s="44"/>
      <c r="N59" s="44"/>
      <c r="O59" s="44"/>
      <c r="P59" s="44"/>
    </row>
    <row r="60" customFormat="false" ht="24" hidden="false" customHeight="true" outlineLevel="0" collapsed="false">
      <c r="A60" s="43" t="s">
        <v>524</v>
      </c>
      <c r="B60" s="43"/>
      <c r="C60" s="43"/>
      <c r="D60" s="44" t="s">
        <v>541</v>
      </c>
      <c r="E60" s="44"/>
      <c r="F60" s="44"/>
      <c r="G60" s="44"/>
      <c r="H60" s="44"/>
      <c r="I60" s="44"/>
      <c r="J60" s="44"/>
      <c r="K60" s="44"/>
      <c r="L60" s="44"/>
      <c r="M60" s="44"/>
      <c r="N60" s="44"/>
      <c r="O60" s="44"/>
      <c r="P60" s="44"/>
    </row>
    <row r="61" customFormat="false" ht="24" hidden="false" customHeight="true" outlineLevel="0" collapsed="false">
      <c r="A61" s="43" t="s">
        <v>542</v>
      </c>
      <c r="B61" s="43"/>
      <c r="C61" s="43"/>
      <c r="D61" s="44" t="s">
        <v>543</v>
      </c>
      <c r="E61" s="44"/>
      <c r="F61" s="44"/>
      <c r="G61" s="44"/>
      <c r="H61" s="44"/>
      <c r="I61" s="44"/>
      <c r="J61" s="44"/>
      <c r="K61" s="44"/>
      <c r="L61" s="44"/>
      <c r="M61" s="44"/>
      <c r="N61" s="44"/>
      <c r="O61" s="44"/>
      <c r="P61" s="44"/>
    </row>
    <row r="62" customFormat="false" ht="24" hidden="false" customHeight="true" outlineLevel="0" collapsed="false">
      <c r="A62" s="43" t="s">
        <v>544</v>
      </c>
      <c r="B62" s="43"/>
      <c r="C62" s="43"/>
      <c r="D62" s="44" t="s">
        <v>545</v>
      </c>
      <c r="E62" s="44"/>
      <c r="F62" s="44"/>
      <c r="G62" s="44"/>
      <c r="H62" s="44"/>
      <c r="I62" s="44"/>
      <c r="J62" s="44"/>
      <c r="K62" s="44"/>
      <c r="L62" s="44"/>
      <c r="M62" s="44"/>
      <c r="N62" s="44"/>
      <c r="O62" s="44"/>
      <c r="P62" s="44"/>
    </row>
  </sheetData>
  <mergeCells count="16">
    <mergeCell ref="A5:C5"/>
    <mergeCell ref="A6:C6"/>
    <mergeCell ref="A7:C7"/>
    <mergeCell ref="A8:C8"/>
    <mergeCell ref="A57:C57"/>
    <mergeCell ref="D57:P57"/>
    <mergeCell ref="A58:C58"/>
    <mergeCell ref="D58:P58"/>
    <mergeCell ref="A59:C59"/>
    <mergeCell ref="D59:P59"/>
    <mergeCell ref="A60:C60"/>
    <mergeCell ref="D60:P60"/>
    <mergeCell ref="A61:C61"/>
    <mergeCell ref="D61:P61"/>
    <mergeCell ref="A62:C62"/>
    <mergeCell ref="D62:P62"/>
  </mergeCells>
  <conditionalFormatting sqref="T12:T51">
    <cfRule type="cellIs" priority="2" operator="equal" aboveAverage="0" equalAverage="0" bottom="0" percent="0" rank="0" text="" dxfId="17">
      <formula>"On target"</formula>
    </cfRule>
    <cfRule type="cellIs" priority="3" operator="equal" aboveAverage="0" equalAverage="0" bottom="0" percent="0" rank="0" text="" dxfId="18">
      <formula>"Too expensive"</formula>
    </cfRule>
  </conditionalFormatting>
  <conditionalFormatting sqref="S12:S51">
    <cfRule type="expression" priority="4" aboveAverage="0" equalAverage="0" bottom="0" percent="0" rank="0" text="" dxfId="1">
      <formula>AND(ISNUMBER(S12),S12&lt;$D$8)</formula>
    </cfRule>
  </conditionalFormatting>
  <conditionalFormatting sqref="Q12:Q51">
    <cfRule type="expression" priority="5" aboveAverage="0" equalAverage="0" bottom="0" percent="0" rank="0" text="" dxfId="1">
      <formula>AND(ISNUMBER(Q12),Q12&lt;$D$6)</formula>
    </cfRule>
  </conditionalFormatting>
  <dataValidations count="1">
    <dataValidation allowBlank="true" errorStyle="stop" operator="between" showDropDown="false" showErrorMessage="false" showInputMessage="false" sqref="B12:B51" type="list">
      <formula1>"Meta,Google,Organic,Referral,Other"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2026-10-07T06:47:00Z</dcterms:created>
  <dc:creator>openpyxl</dc:creator>
  <dc:description/>
  <dc:language>en-GB</dc:language>
  <cp:lastModifiedBy/>
  <dcterms:modified xsi:type="dcterms:W3CDTF">2026-10-07T06:47:01Z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